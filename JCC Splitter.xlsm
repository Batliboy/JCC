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120" windowWidth="27795" windowHeight="12585" firstSheet="2" activeTab="2"/>
  </bookViews>
  <sheets>
    <sheet name="Preferences" sheetId="1" state="hidden" r:id="rId1"/>
    <sheet name="Profile" sheetId="2" state="hidden" r:id="rId2"/>
    <sheet name="Select" sheetId="3" r:id="rId3"/>
    <sheet name="Rearrange" sheetId="4" state="hidden" r:id="rId4"/>
  </sheets>
  <definedNames>
    <definedName name="mcell">Rearrange!$Q$8</definedName>
    <definedName name="solver_adj" localSheetId="3" hidden="1">Rearrange!$A$27:$A$46</definedName>
    <definedName name="solver_adj" localSheetId="2" hidden="1">Select!$Q$11:$Q$12,Select!$X$19:$X$20</definedName>
    <definedName name="solver_cvg" localSheetId="3" hidden="1">0.01</definedName>
    <definedName name="solver_cvg" localSheetId="2" hidden="1">0.0001</definedName>
    <definedName name="solver_drv" localSheetId="3" hidden="1">1</definedName>
    <definedName name="solver_drv" localSheetId="2" hidden="1">2</definedName>
    <definedName name="solver_eng" localSheetId="3" hidden="1">3</definedName>
    <definedName name="solver_eng" localSheetId="2" hidden="1">1</definedName>
    <definedName name="solver_est" localSheetId="3" hidden="1">1</definedName>
    <definedName name="solver_est" localSheetId="2" hidden="1">1</definedName>
    <definedName name="solver_itr" localSheetId="3" hidden="1">2147483647</definedName>
    <definedName name="solver_itr" localSheetId="2" hidden="1">2147483647</definedName>
    <definedName name="solver_lhs1" localSheetId="3" hidden="1">Rearrange!$A$27:$A$46</definedName>
    <definedName name="solver_lhs1" localSheetId="2" hidden="1">Select!$Q$11:$Q$12</definedName>
    <definedName name="solver_lhs2" localSheetId="3" hidden="1">Rearrange!$A$27:$A$46</definedName>
    <definedName name="solver_lhs2" localSheetId="2" hidden="1">Select!$Q$11:$Q$12</definedName>
    <definedName name="solver_lhs3" localSheetId="3" hidden="1">Rearrange!$A$48</definedName>
    <definedName name="solver_lhs3" localSheetId="2" hidden="1">Select!$X$19:$X$20</definedName>
    <definedName name="solver_lhs4" localSheetId="3" hidden="1">Rearrange!$N$6</definedName>
    <definedName name="solver_lhs4" localSheetId="2" hidden="1">Select!$X$19:$X$20</definedName>
    <definedName name="solver_lhs5" localSheetId="3" hidden="1">Rearrange!$O$6</definedName>
    <definedName name="solver_lhs5" localSheetId="2" hidden="1">Select!$X$19:$X$20</definedName>
    <definedName name="solver_lhs6" localSheetId="3" hidden="1">Rearrange!$P$9</definedName>
    <definedName name="solver_lhs6" localSheetId="2" hidden="1">Select!$X$19:$X$20</definedName>
    <definedName name="solver_lhs7" localSheetId="3" hidden="1">Rearrange!$S$8</definedName>
    <definedName name="solver_mip" localSheetId="3" hidden="1">2147483647</definedName>
    <definedName name="solver_mip" localSheetId="2" hidden="1">2147483647</definedName>
    <definedName name="solver_mni" localSheetId="3" hidden="1">30</definedName>
    <definedName name="solver_mni" localSheetId="2" hidden="1">90</definedName>
    <definedName name="solver_mrt" localSheetId="3" hidden="1">0.075</definedName>
    <definedName name="solver_mrt" localSheetId="2" hidden="1">0.075</definedName>
    <definedName name="solver_msl" localSheetId="3" hidden="1">2</definedName>
    <definedName name="solver_msl" localSheetId="2" hidden="1">2</definedName>
    <definedName name="solver_neg" localSheetId="3" hidden="1">1</definedName>
    <definedName name="solver_neg" localSheetId="2" hidden="1">1</definedName>
    <definedName name="solver_nod" localSheetId="3" hidden="1">2147483647</definedName>
    <definedName name="solver_nod" localSheetId="2" hidden="1">2147483647</definedName>
    <definedName name="solver_num" localSheetId="3" hidden="1">7</definedName>
    <definedName name="solver_num" localSheetId="2" hidden="1">4</definedName>
    <definedName name="solver_nwt" localSheetId="3" hidden="1">1</definedName>
    <definedName name="solver_nwt" localSheetId="2" hidden="1">1</definedName>
    <definedName name="solver_opt" localSheetId="3" hidden="1">Rearrange!$Q$8</definedName>
    <definedName name="solver_opt" localSheetId="2" hidden="1">Select!#REF!</definedName>
    <definedName name="solver_pre" localSheetId="3" hidden="1">0.000001</definedName>
    <definedName name="solver_pre" localSheetId="2" hidden="1">0.000001</definedName>
    <definedName name="solver_rbv" localSheetId="3" hidden="1">1</definedName>
    <definedName name="solver_rbv" localSheetId="2" hidden="1">2</definedName>
    <definedName name="solver_rel1" localSheetId="3" hidden="1">6</definedName>
    <definedName name="solver_rel1" localSheetId="2" hidden="1">6</definedName>
    <definedName name="solver_rel2" localSheetId="3" hidden="1">4</definedName>
    <definedName name="solver_rel2" localSheetId="2" hidden="1">4</definedName>
    <definedName name="solver_rel3" localSheetId="3" hidden="1">2</definedName>
    <definedName name="solver_rel3" localSheetId="2" hidden="1">6</definedName>
    <definedName name="solver_rel4" localSheetId="3" hidden="1">3</definedName>
    <definedName name="solver_rel4" localSheetId="2" hidden="1">4</definedName>
    <definedName name="solver_rel5" localSheetId="3" hidden="1">3</definedName>
    <definedName name="solver_rel5" localSheetId="2" hidden="1">4</definedName>
    <definedName name="solver_rel6" localSheetId="3" hidden="1">2</definedName>
    <definedName name="solver_rel6" localSheetId="2" hidden="1">4</definedName>
    <definedName name="solver_rel7" localSheetId="3" hidden="1">1</definedName>
    <definedName name="solver_rhs1" localSheetId="3" hidden="1">AllDifferent</definedName>
    <definedName name="solver_rhs1" localSheetId="2" hidden="1">AllDifferent</definedName>
    <definedName name="solver_rhs2" localSheetId="3" hidden="1">integer</definedName>
    <definedName name="solver_rhs2" localSheetId="2" hidden="1">integer</definedName>
    <definedName name="solver_rhs3" localSheetId="3" hidden="1">210</definedName>
    <definedName name="solver_rhs3" localSheetId="2" hidden="1">AllDifferent</definedName>
    <definedName name="solver_rhs4" localSheetId="3" hidden="1">3</definedName>
    <definedName name="solver_rhs4" localSheetId="2" hidden="1">integer</definedName>
    <definedName name="solver_rhs5" localSheetId="3" hidden="1">3</definedName>
    <definedName name="solver_rhs5" localSheetId="2" hidden="1">integer</definedName>
    <definedName name="solver_rhs6" localSheetId="3" hidden="1">0</definedName>
    <definedName name="solver_rhs6" localSheetId="2" hidden="1">integer</definedName>
    <definedName name="solver_rhs7" localSheetId="3" hidden="1">1</definedName>
    <definedName name="solver_rlx" localSheetId="3" hidden="1">2</definedName>
    <definedName name="solver_rlx" localSheetId="2" hidden="1">2</definedName>
    <definedName name="solver_rsd" localSheetId="3" hidden="1">0</definedName>
    <definedName name="solver_rsd" localSheetId="2" hidden="1">0</definedName>
    <definedName name="solver_scl" localSheetId="3" hidden="1">1</definedName>
    <definedName name="solver_scl" localSheetId="2" hidden="1">2</definedName>
    <definedName name="solver_sho" localSheetId="3" hidden="1">2</definedName>
    <definedName name="solver_sho" localSheetId="2" hidden="1">2</definedName>
    <definedName name="solver_ssz" localSheetId="3" hidden="1">30</definedName>
    <definedName name="solver_ssz" localSheetId="2" hidden="1">1000</definedName>
    <definedName name="solver_tim" localSheetId="3" hidden="1">2147483647</definedName>
    <definedName name="solver_tim" localSheetId="2" hidden="1">2147483647</definedName>
    <definedName name="solver_tol" localSheetId="3" hidden="1">0.01</definedName>
    <definedName name="solver_tol" localSheetId="2" hidden="1">0.01</definedName>
    <definedName name="solver_typ" localSheetId="3" hidden="1">2</definedName>
    <definedName name="solver_typ" localSheetId="2" hidden="1">2</definedName>
    <definedName name="solver_val" localSheetId="3" hidden="1">0</definedName>
    <definedName name="solver_val" localSheetId="2" hidden="1">0</definedName>
    <definedName name="solver_ver" localSheetId="3" hidden="1">3</definedName>
    <definedName name="solver_ver" localSheetId="2" hidden="1">3</definedName>
  </definedNames>
  <calcPr calcId="145621"/>
</workbook>
</file>

<file path=xl/calcChain.xml><?xml version="1.0" encoding="utf-8"?>
<calcChain xmlns="http://schemas.openxmlformats.org/spreadsheetml/2006/main">
  <c r="B16" i="4" l="1"/>
  <c r="S9" i="4" l="1"/>
  <c r="B21" i="4"/>
  <c r="B20" i="4"/>
  <c r="B19" i="4"/>
  <c r="B18" i="4"/>
  <c r="B17" i="4"/>
  <c r="B15" i="4"/>
  <c r="B14" i="4"/>
  <c r="B13" i="4"/>
  <c r="B12" i="4"/>
  <c r="B11" i="4"/>
  <c r="B10" i="4"/>
  <c r="B9" i="4"/>
  <c r="B8" i="4"/>
  <c r="B7" i="4"/>
  <c r="B6" i="4"/>
  <c r="B5" i="4"/>
  <c r="B4" i="4"/>
  <c r="B3" i="4"/>
  <c r="B2" i="4"/>
  <c r="B22" i="4"/>
  <c r="B23" i="4"/>
  <c r="A48" i="4" l="1"/>
  <c r="D23" i="4"/>
  <c r="F22" i="4"/>
  <c r="H21" i="4"/>
  <c r="J20" i="4"/>
  <c r="K19" i="4"/>
  <c r="E18" i="4"/>
  <c r="H17" i="4"/>
  <c r="J16" i="4"/>
  <c r="K15" i="4"/>
  <c r="E14" i="4"/>
  <c r="H13" i="4"/>
  <c r="J12" i="4"/>
  <c r="K11" i="4"/>
  <c r="E10" i="4"/>
  <c r="J9" i="4"/>
  <c r="J8" i="4"/>
  <c r="J7" i="4"/>
  <c r="K6" i="4"/>
  <c r="I5" i="4"/>
  <c r="G4" i="4"/>
  <c r="E3" i="4"/>
  <c r="J2" i="4"/>
  <c r="D28" i="3"/>
  <c r="A28" i="3"/>
  <c r="D27" i="3"/>
  <c r="A27" i="3"/>
  <c r="D26" i="3"/>
  <c r="A26" i="3"/>
  <c r="D25" i="3"/>
  <c r="A25" i="3"/>
  <c r="D24" i="3"/>
  <c r="A24" i="3"/>
  <c r="D23" i="3"/>
  <c r="A23" i="3"/>
  <c r="D22" i="3"/>
  <c r="A22" i="3"/>
  <c r="D21" i="3"/>
  <c r="A21" i="3"/>
  <c r="AB20" i="3"/>
  <c r="AA20" i="3"/>
  <c r="Z20" i="3"/>
  <c r="U20" i="3"/>
  <c r="T20" i="3"/>
  <c r="S20" i="3"/>
  <c r="D20" i="3"/>
  <c r="A20" i="3"/>
  <c r="AB19" i="3"/>
  <c r="AA19" i="3"/>
  <c r="Z19" i="3"/>
  <c r="U19" i="3"/>
  <c r="T19" i="3"/>
  <c r="S19" i="3"/>
  <c r="D19" i="3"/>
  <c r="A19" i="3"/>
  <c r="AB18" i="3"/>
  <c r="AA18" i="3"/>
  <c r="Z18" i="3"/>
  <c r="U18" i="3"/>
  <c r="T18" i="3"/>
  <c r="S18" i="3"/>
  <c r="D18" i="3"/>
  <c r="A18" i="3"/>
  <c r="AB17" i="3"/>
  <c r="AA17" i="3"/>
  <c r="Z17" i="3"/>
  <c r="U17" i="3"/>
  <c r="T17" i="3"/>
  <c r="S17" i="3"/>
  <c r="D17" i="3"/>
  <c r="A17" i="3"/>
  <c r="AB16" i="3"/>
  <c r="AA16" i="3"/>
  <c r="Z16" i="3"/>
  <c r="U16" i="3"/>
  <c r="T16" i="3"/>
  <c r="S16" i="3"/>
  <c r="D16" i="3"/>
  <c r="A16" i="3"/>
  <c r="AB15" i="3"/>
  <c r="AA15" i="3"/>
  <c r="Z15" i="3"/>
  <c r="U15" i="3"/>
  <c r="T15" i="3"/>
  <c r="S15" i="3"/>
  <c r="D15" i="3"/>
  <c r="A15" i="3"/>
  <c r="AB14" i="3"/>
  <c r="AA14" i="3"/>
  <c r="Z14" i="3"/>
  <c r="U14" i="3"/>
  <c r="T14" i="3"/>
  <c r="S14" i="3"/>
  <c r="D14" i="3"/>
  <c r="A14" i="3"/>
  <c r="AB13" i="3"/>
  <c r="AA13" i="3"/>
  <c r="Z13" i="3"/>
  <c r="U13" i="3"/>
  <c r="T13" i="3"/>
  <c r="S13" i="3"/>
  <c r="D13" i="3"/>
  <c r="A13" i="3"/>
  <c r="AB12" i="3"/>
  <c r="AA12" i="3"/>
  <c r="Z12" i="3"/>
  <c r="U12" i="3"/>
  <c r="T12" i="3"/>
  <c r="S12" i="3"/>
  <c r="D12" i="3"/>
  <c r="A12" i="3"/>
  <c r="AB11" i="3"/>
  <c r="AA11" i="3"/>
  <c r="Z11" i="3"/>
  <c r="U11" i="3"/>
  <c r="T11" i="3"/>
  <c r="S11" i="3"/>
  <c r="D11" i="3"/>
  <c r="A11" i="3"/>
  <c r="D10" i="3"/>
  <c r="A10" i="3"/>
  <c r="D9" i="3"/>
  <c r="A9" i="3"/>
  <c r="D8" i="3"/>
  <c r="A8" i="3"/>
  <c r="D7" i="3"/>
  <c r="A7" i="3"/>
  <c r="K24" i="2"/>
  <c r="J24" i="2"/>
  <c r="I24" i="2"/>
  <c r="H24" i="2"/>
  <c r="G24" i="2"/>
  <c r="F24" i="2"/>
  <c r="K23" i="2"/>
  <c r="J23" i="2"/>
  <c r="I23" i="2"/>
  <c r="H23" i="2"/>
  <c r="G23" i="2"/>
  <c r="F23" i="2"/>
  <c r="K22" i="2"/>
  <c r="J22" i="2"/>
  <c r="I22" i="2"/>
  <c r="H22" i="2"/>
  <c r="G22" i="2"/>
  <c r="F22" i="2"/>
  <c r="K21" i="2"/>
  <c r="J21" i="2"/>
  <c r="I21" i="2"/>
  <c r="H21" i="2"/>
  <c r="G21" i="2"/>
  <c r="F21" i="2"/>
  <c r="K20" i="2"/>
  <c r="J20" i="2"/>
  <c r="I20" i="2"/>
  <c r="H20" i="2"/>
  <c r="G20" i="2"/>
  <c r="F20" i="2"/>
  <c r="K19" i="2"/>
  <c r="J19" i="2"/>
  <c r="I19" i="2"/>
  <c r="H19" i="2"/>
  <c r="G19" i="2"/>
  <c r="F19" i="2"/>
  <c r="K18" i="2"/>
  <c r="J18" i="2"/>
  <c r="I18" i="2"/>
  <c r="H18" i="2"/>
  <c r="G18" i="2"/>
  <c r="F18" i="2"/>
  <c r="K17" i="2"/>
  <c r="J17" i="2"/>
  <c r="I17" i="2"/>
  <c r="H17" i="2"/>
  <c r="G17" i="2"/>
  <c r="F17" i="2"/>
  <c r="K16" i="2"/>
  <c r="J16" i="2"/>
  <c r="I16" i="2"/>
  <c r="H16" i="2"/>
  <c r="G16" i="2"/>
  <c r="F16" i="2"/>
  <c r="K15" i="2"/>
  <c r="J15" i="2"/>
  <c r="I15" i="2"/>
  <c r="H15" i="2"/>
  <c r="G15" i="2"/>
  <c r="F15" i="2"/>
  <c r="K14" i="2"/>
  <c r="J14" i="2"/>
  <c r="I14" i="2"/>
  <c r="H14" i="2"/>
  <c r="G14" i="2"/>
  <c r="F14" i="2"/>
  <c r="K13" i="2"/>
  <c r="J13" i="2"/>
  <c r="I13" i="2"/>
  <c r="H13" i="2"/>
  <c r="G13" i="2"/>
  <c r="F13" i="2"/>
  <c r="K12" i="2"/>
  <c r="J12" i="2"/>
  <c r="I12" i="2"/>
  <c r="H12" i="2"/>
  <c r="G12" i="2"/>
  <c r="F12" i="2"/>
  <c r="K11" i="2"/>
  <c r="J11" i="2"/>
  <c r="I11" i="2"/>
  <c r="H11" i="2"/>
  <c r="G11" i="2"/>
  <c r="F11" i="2"/>
  <c r="K10" i="2"/>
  <c r="J10" i="2"/>
  <c r="I10" i="2"/>
  <c r="H10" i="2"/>
  <c r="G10" i="2"/>
  <c r="F10" i="2"/>
  <c r="K9" i="2"/>
  <c r="J9" i="2"/>
  <c r="I9" i="2"/>
  <c r="H9" i="2"/>
  <c r="G9" i="2"/>
  <c r="F9" i="2"/>
  <c r="K8" i="2"/>
  <c r="J8" i="2"/>
  <c r="I8" i="2"/>
  <c r="H8" i="2"/>
  <c r="G8" i="2"/>
  <c r="F8" i="2"/>
  <c r="K7" i="2"/>
  <c r="J7" i="2"/>
  <c r="I7" i="2"/>
  <c r="H7" i="2"/>
  <c r="G7" i="2"/>
  <c r="F7" i="2"/>
  <c r="K6" i="2"/>
  <c r="J6" i="2"/>
  <c r="I6" i="2"/>
  <c r="H6" i="2"/>
  <c r="G6" i="2"/>
  <c r="F6" i="2"/>
  <c r="K5" i="2"/>
  <c r="J5" i="2"/>
  <c r="I5" i="2"/>
  <c r="H5" i="2"/>
  <c r="G5" i="2"/>
  <c r="F5" i="2"/>
  <c r="K4" i="2"/>
  <c r="J4" i="2"/>
  <c r="I4" i="2"/>
  <c r="H4" i="2"/>
  <c r="G4" i="2"/>
  <c r="F4" i="2"/>
  <c r="K3" i="2"/>
  <c r="J3" i="2"/>
  <c r="I3" i="2"/>
  <c r="H3" i="2"/>
  <c r="G3" i="2"/>
  <c r="F3" i="2"/>
  <c r="H23" i="4" l="1"/>
  <c r="Y10" i="3"/>
  <c r="AB10" i="3" s="1"/>
  <c r="I23" i="4"/>
  <c r="G22" i="4"/>
  <c r="E23" i="4"/>
  <c r="H22" i="4"/>
  <c r="F23" i="4"/>
  <c r="I22" i="4"/>
  <c r="G23" i="4"/>
  <c r="J22" i="4"/>
  <c r="J23" i="4"/>
  <c r="C22" i="4"/>
  <c r="K22" i="4"/>
  <c r="D22" i="4"/>
  <c r="E22" i="4"/>
  <c r="C23" i="4"/>
  <c r="K23" i="4"/>
  <c r="R10" i="3"/>
  <c r="G12" i="4"/>
  <c r="K12" i="4"/>
  <c r="I10" i="4"/>
  <c r="E12" i="4"/>
  <c r="F11" i="4"/>
  <c r="D15" i="4"/>
  <c r="C12" i="4"/>
  <c r="F15" i="4"/>
  <c r="H2" i="4"/>
  <c r="D10" i="4"/>
  <c r="G11" i="4"/>
  <c r="G14" i="4"/>
  <c r="H3" i="4"/>
  <c r="C10" i="4"/>
  <c r="C2" i="4"/>
  <c r="D11" i="4"/>
  <c r="D2" i="4"/>
  <c r="E11" i="4"/>
  <c r="H4" i="4"/>
  <c r="C9" i="4"/>
  <c r="F18" i="4"/>
  <c r="E2" i="4"/>
  <c r="I4" i="4"/>
  <c r="D9" i="4"/>
  <c r="F10" i="4"/>
  <c r="C14" i="4"/>
  <c r="G15" i="4"/>
  <c r="H18" i="4"/>
  <c r="I21" i="4"/>
  <c r="F2" i="4"/>
  <c r="E9" i="4"/>
  <c r="G10" i="4"/>
  <c r="F14" i="4"/>
  <c r="I15" i="4"/>
  <c r="I18" i="4"/>
  <c r="K2" i="4"/>
  <c r="F6" i="4"/>
  <c r="I9" i="4"/>
  <c r="K10" i="4"/>
  <c r="H14" i="4"/>
  <c r="E16" i="4"/>
  <c r="F9" i="4"/>
  <c r="K18" i="4"/>
  <c r="K9" i="4"/>
  <c r="I14" i="4"/>
  <c r="K16" i="4"/>
  <c r="F19" i="4"/>
  <c r="I19" i="4"/>
  <c r="C7" i="4"/>
  <c r="C8" i="4"/>
  <c r="H7" i="4"/>
  <c r="K8" i="4"/>
  <c r="K20" i="4"/>
  <c r="H6" i="4"/>
  <c r="I7" i="4"/>
  <c r="D12" i="4"/>
  <c r="D14" i="4"/>
  <c r="E15" i="4"/>
  <c r="G16" i="4"/>
  <c r="G18" i="4"/>
  <c r="G19" i="4"/>
  <c r="C20" i="4"/>
  <c r="K7" i="4"/>
  <c r="D7" i="4"/>
  <c r="I17" i="4"/>
  <c r="E7" i="4"/>
  <c r="D8" i="4"/>
  <c r="D20" i="4"/>
  <c r="F3" i="4"/>
  <c r="D6" i="4"/>
  <c r="F7" i="4"/>
  <c r="E8" i="4"/>
  <c r="H9" i="4"/>
  <c r="H10" i="4"/>
  <c r="I11" i="4"/>
  <c r="I13" i="4"/>
  <c r="K14" i="4"/>
  <c r="C16" i="4"/>
  <c r="C18" i="4"/>
  <c r="D19" i="4"/>
  <c r="E20" i="4"/>
  <c r="G3" i="4"/>
  <c r="E6" i="4"/>
  <c r="G7" i="4"/>
  <c r="G8" i="4"/>
  <c r="D16" i="4"/>
  <c r="D18" i="4"/>
  <c r="E19" i="4"/>
  <c r="G20" i="4"/>
  <c r="J13" i="4"/>
  <c r="J21" i="4"/>
  <c r="C13" i="4"/>
  <c r="K13" i="4"/>
  <c r="C17" i="4"/>
  <c r="K17" i="4"/>
  <c r="C21" i="4"/>
  <c r="K21" i="4"/>
  <c r="G2" i="4"/>
  <c r="I3" i="4"/>
  <c r="C4" i="4"/>
  <c r="K4" i="4"/>
  <c r="E5" i="4"/>
  <c r="G6" i="4"/>
  <c r="F8" i="4"/>
  <c r="G9" i="4"/>
  <c r="J10" i="4"/>
  <c r="H11" i="4"/>
  <c r="F12" i="4"/>
  <c r="D13" i="4"/>
  <c r="J14" i="4"/>
  <c r="H15" i="4"/>
  <c r="F16" i="4"/>
  <c r="D17" i="4"/>
  <c r="J18" i="4"/>
  <c r="H19" i="4"/>
  <c r="F20" i="4"/>
  <c r="D21" i="4"/>
  <c r="J17" i="4"/>
  <c r="J4" i="4"/>
  <c r="D5" i="4"/>
  <c r="J3" i="4"/>
  <c r="D4" i="4"/>
  <c r="F5" i="4"/>
  <c r="E13" i="4"/>
  <c r="E21" i="4"/>
  <c r="I2" i="4"/>
  <c r="C3" i="4"/>
  <c r="K3" i="4"/>
  <c r="E4" i="4"/>
  <c r="G5" i="4"/>
  <c r="I6" i="4"/>
  <c r="H8" i="4"/>
  <c r="J11" i="4"/>
  <c r="H12" i="4"/>
  <c r="F13" i="4"/>
  <c r="J15" i="4"/>
  <c r="H16" i="4"/>
  <c r="F17" i="4"/>
  <c r="J19" i="4"/>
  <c r="H20" i="4"/>
  <c r="F21" i="4"/>
  <c r="J5" i="4"/>
  <c r="C5" i="4"/>
  <c r="K5" i="4"/>
  <c r="D3" i="4"/>
  <c r="F4" i="4"/>
  <c r="H5" i="4"/>
  <c r="J6" i="4"/>
  <c r="I8" i="4"/>
  <c r="C11" i="4"/>
  <c r="I12" i="4"/>
  <c r="G13" i="4"/>
  <c r="C15" i="4"/>
  <c r="I16" i="4"/>
  <c r="G17" i="4"/>
  <c r="C19" i="4"/>
  <c r="I20" i="4"/>
  <c r="G21" i="4"/>
  <c r="E17" i="4"/>
  <c r="C6" i="4"/>
  <c r="Z10" i="3" l="1"/>
  <c r="AA10" i="3"/>
  <c r="U10" i="3"/>
  <c r="T10" i="3"/>
  <c r="S10" i="3"/>
  <c r="O6" i="4"/>
  <c r="O5" i="4"/>
  <c r="O3" i="4"/>
  <c r="O8" i="4"/>
  <c r="O4" i="4"/>
  <c r="N8" i="4"/>
  <c r="N2" i="4"/>
  <c r="N9" i="4"/>
  <c r="N5" i="4"/>
  <c r="N4" i="4"/>
  <c r="O7" i="4"/>
  <c r="N6" i="4"/>
  <c r="N7" i="4"/>
  <c r="O9" i="4"/>
  <c r="O2" i="4"/>
  <c r="N3" i="4"/>
  <c r="P4" i="4" l="1"/>
  <c r="Q4" i="4" s="1"/>
  <c r="P8" i="4"/>
  <c r="S8" i="4" s="1"/>
  <c r="AA22" i="3"/>
  <c r="P6" i="4"/>
  <c r="T22" i="3"/>
  <c r="P3" i="4"/>
  <c r="Q3" i="4" s="1"/>
  <c r="T23" i="3"/>
  <c r="P5" i="4"/>
  <c r="Q5" i="4" s="1"/>
  <c r="P9" i="4"/>
  <c r="P2" i="4"/>
  <c r="Q2" i="4" s="1"/>
  <c r="AA23" i="3"/>
  <c r="Q8" i="4" l="1"/>
</calcChain>
</file>

<file path=xl/comments1.xml><?xml version="1.0" encoding="utf-8"?>
<comments xmlns="http://schemas.openxmlformats.org/spreadsheetml/2006/main">
  <authors>
    <author>Bathla, Abhisek</author>
  </authors>
  <commentList>
    <comment ref="D3" authorId="0">
      <text>
        <r>
          <rPr>
            <sz val="10"/>
            <color indexed="81"/>
            <rFont val="Segoe UI"/>
            <family val="2"/>
          </rPr>
          <t>1. Mark availability of each player by selecting "Y/N"
2. Mark the captains as 1 and 2 and leave the others blank
3. If you want the splitter to distribute the players for rotations equally, mark Rotation Y/N as "Y" (Cell H30)
4. Click the "Split Teams"</t>
        </r>
        <r>
          <rPr>
            <b/>
            <sz val="10"/>
            <color indexed="81"/>
            <rFont val="Segoe UI"/>
            <family val="2"/>
          </rPr>
          <t xml:space="preserve"> </t>
        </r>
        <r>
          <rPr>
            <sz val="10"/>
            <color indexed="81"/>
            <rFont val="Segoe UI"/>
            <family val="2"/>
          </rPr>
          <t>button
5. Click 'OK' when solver asks to keep solver solution 
6. If you get an error, you do not have the solver added. Please follow these steps:
https://support.office.com/en-us/article/Load-the-Solver-Add-in-0e6760e3-dab5-4fd4-bebb-15ee311a4316
OR google to add the solver for your respective excel version</t>
        </r>
      </text>
    </comment>
    <comment ref="K18" authorId="0">
      <text>
        <r>
          <rPr>
            <sz val="10"/>
            <color indexed="81"/>
            <rFont val="Segoe UI"/>
            <family val="2"/>
          </rPr>
          <t>1. The splitter will solve a simple LP to distribute teams according to the given constraints
2. The team distribution is shown on the right
3. Relative Batting and Bowling strength of each team is indicated
4. Best batting, bowling and wicket keeping options are indicated</t>
        </r>
        <r>
          <rPr>
            <sz val="9"/>
            <color indexed="81"/>
            <rFont val="Tahoma"/>
            <family val="2"/>
          </rPr>
          <t xml:space="preserve">
</t>
        </r>
        <r>
          <rPr>
            <sz val="10"/>
            <color indexed="81"/>
            <rFont val="Segoe UI"/>
            <family val="2"/>
          </rPr>
          <t xml:space="preserve">Please Note:  Feel free to press the Split team button multiple times if you are not satisfied with the distribution. 
</t>
        </r>
      </text>
    </comment>
  </commentList>
</comments>
</file>

<file path=xl/sharedStrings.xml><?xml version="1.0" encoding="utf-8"?>
<sst xmlns="http://schemas.openxmlformats.org/spreadsheetml/2006/main" count="190" uniqueCount="84">
  <si>
    <t>Ram</t>
  </si>
  <si>
    <t>Nikunj</t>
  </si>
  <si>
    <t>Rutvik</t>
  </si>
  <si>
    <t>KP</t>
  </si>
  <si>
    <t>S.No</t>
  </si>
  <si>
    <t>Name</t>
  </si>
  <si>
    <t>Tushar P</t>
  </si>
  <si>
    <t>Jenil</t>
  </si>
  <si>
    <t>Tushar C</t>
  </si>
  <si>
    <t>Prakash</t>
  </si>
  <si>
    <t>NG</t>
  </si>
  <si>
    <t>AB</t>
  </si>
  <si>
    <t>Ninad</t>
  </si>
  <si>
    <t>Madhu</t>
  </si>
  <si>
    <t>Ravi Arya</t>
  </si>
  <si>
    <t>Ashwin A</t>
  </si>
  <si>
    <t>Ashwin K</t>
  </si>
  <si>
    <t>Rohan</t>
  </si>
  <si>
    <t>Sriram</t>
  </si>
  <si>
    <t>Animesh</t>
  </si>
  <si>
    <t>Hadi</t>
  </si>
  <si>
    <t>Priyatansh</t>
  </si>
  <si>
    <t>Sudheer</t>
  </si>
  <si>
    <t>Must Bat; Don't care if I bowl</t>
  </si>
  <si>
    <t>Must Bowl. Don't care if I bat</t>
  </si>
  <si>
    <t>Really don't care if I bat or bowl; I just love to be a part of it</t>
  </si>
  <si>
    <t>Least Preferred</t>
  </si>
  <si>
    <t>Most Preferred</t>
  </si>
  <si>
    <t>Atleast 1 over to bowl; Happy to bat in upper middle order</t>
  </si>
  <si>
    <t>Bowl atleast 2 overs every game; Don't mind batting in lower middle order</t>
  </si>
  <si>
    <t>Player X</t>
  </si>
  <si>
    <t>Batsman</t>
  </si>
  <si>
    <t>Bowler</t>
  </si>
  <si>
    <t>Wicketkeeper</t>
  </si>
  <si>
    <t>Category</t>
  </si>
  <si>
    <t>Min</t>
  </si>
  <si>
    <t>Max</t>
  </si>
  <si>
    <t>A</t>
  </si>
  <si>
    <t>B</t>
  </si>
  <si>
    <t>C</t>
  </si>
  <si>
    <t>D</t>
  </si>
  <si>
    <t>Batting Description</t>
  </si>
  <si>
    <t>Bowling Description</t>
  </si>
  <si>
    <t>Can build Innings but not for a long time, Can pinch hit but not always, Atleast 2 decent performances in last 5 games</t>
  </si>
  <si>
    <t>Builds Innings consistently , Can pinch hit, Atleast 3 decent performances in last 5 games</t>
  </si>
  <si>
    <t>Not Applicable</t>
  </si>
  <si>
    <t>Grade</t>
  </si>
  <si>
    <t>Wicket Keeping Description</t>
  </si>
  <si>
    <t>Can keep for full innings</t>
  </si>
  <si>
    <t>Can keep for good part of innings</t>
  </si>
  <si>
    <t>Likes to keep but not consitent</t>
  </si>
  <si>
    <t>No way</t>
  </si>
  <si>
    <t>bat_min</t>
  </si>
  <si>
    <t>bat_max</t>
  </si>
  <si>
    <t>bowl_min</t>
  </si>
  <si>
    <t>bowl_max</t>
  </si>
  <si>
    <t>wk_min</t>
  </si>
  <si>
    <t>wk_max</t>
  </si>
  <si>
    <t>Available?</t>
  </si>
  <si>
    <t>Y</t>
  </si>
  <si>
    <t>Captain</t>
  </si>
  <si>
    <t>Team 1</t>
  </si>
  <si>
    <t>Team 2</t>
  </si>
  <si>
    <t>V.S</t>
  </si>
  <si>
    <t>Team Name</t>
  </si>
  <si>
    <t>S.no</t>
  </si>
  <si>
    <t>Team2</t>
  </si>
  <si>
    <t>Bat Min</t>
  </si>
  <si>
    <t>Bat Max</t>
  </si>
  <si>
    <t>Bowl Min</t>
  </si>
  <si>
    <t>Bowl Max</t>
  </si>
  <si>
    <t>WK Min</t>
  </si>
  <si>
    <t>WK Max</t>
  </si>
  <si>
    <t>Doesn't build innings consistently, May be able to pinch hit sometimes</t>
  </si>
  <si>
    <t>Relative Batting Strength</t>
  </si>
  <si>
    <t>Relative Bowling Strength</t>
  </si>
  <si>
    <t>N</t>
  </si>
  <si>
    <t>No Play</t>
  </si>
  <si>
    <t>Rotation</t>
  </si>
  <si>
    <t>Sanjeeth</t>
  </si>
  <si>
    <t>JCC Team Availability</t>
  </si>
  <si>
    <t>#</t>
  </si>
  <si>
    <t>Rotation Y/N?</t>
  </si>
  <si>
    <t>Team Distribution</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</si>
</sst>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11"/>
      <color theme="1"/>
      <name val="Calibri"/>
      <family val="2"/>
      <scheme val="minor"/>
    </font>
    <font>
      <b/>
      <sz val="14"/>
      <color theme="1"/>
      <name val="Calibri"/>
      <family val="2"/>
      <scheme val="minor"/>
    </font>
    <font>
      <b/>
      <sz val="11"/>
      <color theme="5"/>
      <name val="Calibri"/>
      <family val="2"/>
      <scheme val="minor"/>
    </font>
    <font>
      <sz val="9"/>
      <color indexed="81"/>
      <name val="Tahoma"/>
      <family val="2"/>
    </font>
    <font>
      <sz val="10"/>
      <color indexed="81"/>
      <name val="Segoe UI"/>
      <family val="2"/>
    </font>
    <font>
      <b/>
      <sz val="10"/>
      <color indexed="81"/>
      <name val="Segoe UI"/>
      <family val="2"/>
    </font>
    <font>
      <sz val="11"/>
      <color theme="5"/>
      <name val="Calibri"/>
      <family val="2"/>
      <scheme val="minor"/>
    </font>
    <font>
      <b/>
      <sz val="12"/>
      <color theme="5"/>
      <name val="Calibri"/>
      <family val="2"/>
      <scheme val="minor"/>
    </font>
    <font>
      <b/>
      <sz val="20"/>
      <color theme="5"/>
      <name val="Calibri"/>
      <family val="2"/>
      <scheme val="minor"/>
    </font>
  </fonts>
  <fills count="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2" tint="-9.9978637043366805E-2"/>
        <bgColor indexed="64"/>
      </patternFill>
    </fill>
    <fill>
      <patternFill patternType="solid">
        <fgColor theme="2"/>
        <bgColor indexed="64"/>
      </patternFill>
    </fill>
  </fills>
  <borders count="13">
    <border>
      <left/>
      <right/>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88">
    <xf numFmtId="0" fontId="0" fillId="0" borderId="0" xfId="0"/>
    <xf numFmtId="0" fontId="0" fillId="0" borderId="0" xfId="0" applyAlignment="1">
      <alignment horizontal="center"/>
    </xf>
    <xf numFmtId="1" fontId="0" fillId="0" borderId="0" xfId="0" applyNumberFormat="1" applyAlignment="1">
      <alignment horizontal="center"/>
    </xf>
    <xf numFmtId="0" fontId="0" fillId="0" borderId="0" xfId="0" applyBorder="1"/>
    <xf numFmtId="0" fontId="0" fillId="0" borderId="4" xfId="0" applyBorder="1"/>
    <xf numFmtId="0" fontId="0" fillId="0" borderId="5" xfId="0" applyBorder="1"/>
    <xf numFmtId="0" fontId="0" fillId="2" borderId="0" xfId="0" applyFill="1"/>
    <xf numFmtId="0" fontId="0" fillId="2" borderId="0" xfId="0" applyFill="1" applyAlignment="1">
      <alignment horizontal="center"/>
    </xf>
    <xf numFmtId="0" fontId="0" fillId="3" borderId="0" xfId="0" applyFill="1"/>
    <xf numFmtId="0" fontId="0" fillId="3" borderId="0" xfId="0" applyFill="1" applyAlignment="1">
      <alignment horizontal="center"/>
    </xf>
    <xf numFmtId="0" fontId="0" fillId="4" borderId="0" xfId="0" applyFill="1" applyAlignment="1">
      <alignment horizontal="center"/>
    </xf>
    <xf numFmtId="0" fontId="0" fillId="5" borderId="0" xfId="0" applyFill="1" applyAlignment="1">
      <alignment horizontal="center"/>
    </xf>
    <xf numFmtId="0" fontId="0" fillId="0" borderId="1" xfId="0" applyFill="1" applyBorder="1" applyAlignment="1">
      <alignment horizontal="center"/>
    </xf>
    <xf numFmtId="0" fontId="0" fillId="0" borderId="1" xfId="0" applyBorder="1" applyAlignment="1">
      <alignment horizontal="center"/>
    </xf>
    <xf numFmtId="0" fontId="0" fillId="0" borderId="0" xfId="0" applyBorder="1" applyAlignment="1">
      <alignment horizontal="center"/>
    </xf>
    <xf numFmtId="0" fontId="0" fillId="0" borderId="2" xfId="0" applyBorder="1" applyAlignment="1">
      <alignment horizontal="center"/>
    </xf>
    <xf numFmtId="0" fontId="0" fillId="0" borderId="7" xfId="0" applyBorder="1"/>
    <xf numFmtId="0" fontId="0" fillId="0" borderId="8" xfId="0" applyBorder="1"/>
    <xf numFmtId="0" fontId="0" fillId="0" borderId="7" xfId="0" applyBorder="1" applyAlignment="1">
      <alignment horizontal="center"/>
    </xf>
    <xf numFmtId="0" fontId="0" fillId="0" borderId="8" xfId="0" applyBorder="1" applyAlignment="1">
      <alignment horizontal="center"/>
    </xf>
    <xf numFmtId="0" fontId="1" fillId="0" borderId="0" xfId="0" applyFont="1" applyBorder="1" applyAlignment="1">
      <alignment horizontal="center"/>
    </xf>
    <xf numFmtId="0" fontId="0" fillId="0" borderId="4" xfId="0" applyBorder="1" applyAlignment="1">
      <alignment horizontal="center"/>
    </xf>
    <xf numFmtId="0" fontId="0" fillId="0" borderId="3" xfId="0" applyBorder="1"/>
    <xf numFmtId="1" fontId="0" fillId="0" borderId="0" xfId="0" applyNumberFormat="1"/>
    <xf numFmtId="1" fontId="0" fillId="2" borderId="0" xfId="0" applyNumberFormat="1" applyFill="1" applyAlignment="1">
      <alignment horizontal="center"/>
    </xf>
    <xf numFmtId="1" fontId="0" fillId="3" borderId="0" xfId="0" applyNumberFormat="1" applyFill="1" applyAlignment="1">
      <alignment horizontal="center"/>
    </xf>
    <xf numFmtId="0" fontId="0" fillId="0" borderId="6" xfId="0" applyBorder="1"/>
    <xf numFmtId="0" fontId="0" fillId="0" borderId="2" xfId="0" applyBorder="1"/>
    <xf numFmtId="0" fontId="0" fillId="0" borderId="3" xfId="0" applyBorder="1" applyAlignment="1">
      <alignment horizontal="center"/>
    </xf>
    <xf numFmtId="0" fontId="0" fillId="0" borderId="5" xfId="0" applyBorder="1" applyAlignment="1">
      <alignment horizontal="center"/>
    </xf>
    <xf numFmtId="0" fontId="0" fillId="8" borderId="1" xfId="0" applyFont="1" applyFill="1" applyBorder="1" applyAlignment="1">
      <alignment horizontal="center"/>
    </xf>
    <xf numFmtId="0" fontId="0" fillId="8" borderId="2" xfId="0" applyFont="1" applyFill="1" applyBorder="1"/>
    <xf numFmtId="0" fontId="0" fillId="8" borderId="3" xfId="0" applyFont="1" applyFill="1" applyBorder="1" applyAlignment="1">
      <alignment horizontal="center"/>
    </xf>
    <xf numFmtId="0" fontId="0" fillId="8" borderId="5" xfId="0" applyFont="1" applyFill="1" applyBorder="1"/>
    <xf numFmtId="0" fontId="3" fillId="7" borderId="6" xfId="0" applyFont="1" applyFill="1" applyBorder="1"/>
    <xf numFmtId="0" fontId="3" fillId="7" borderId="7" xfId="0" applyFont="1" applyFill="1" applyBorder="1" applyAlignment="1">
      <alignment horizontal="center"/>
    </xf>
    <xf numFmtId="0" fontId="3" fillId="7" borderId="8" xfId="0" applyFont="1" applyFill="1" applyBorder="1"/>
    <xf numFmtId="0" fontId="0" fillId="0" borderId="1" xfId="0" applyBorder="1"/>
    <xf numFmtId="0" fontId="1" fillId="0" borderId="9" xfId="0" applyFont="1" applyFill="1" applyBorder="1" applyAlignment="1"/>
    <xf numFmtId="0" fontId="1" fillId="0" borderId="10" xfId="0" applyFont="1" applyFill="1" applyBorder="1" applyAlignment="1"/>
    <xf numFmtId="0" fontId="1" fillId="0" borderId="11" xfId="0" applyFont="1" applyFill="1" applyBorder="1" applyAlignment="1"/>
    <xf numFmtId="0" fontId="1" fillId="0" borderId="10" xfId="0" applyFont="1" applyBorder="1" applyAlignment="1"/>
    <xf numFmtId="0" fontId="1" fillId="0" borderId="11" xfId="0" applyFont="1" applyBorder="1" applyAlignment="1"/>
    <xf numFmtId="0" fontId="0" fillId="8" borderId="7" xfId="0" applyFill="1" applyBorder="1" applyAlignment="1"/>
    <xf numFmtId="0" fontId="0" fillId="8" borderId="7" xfId="0" applyFill="1" applyBorder="1" applyAlignment="1">
      <alignment horizontal="center"/>
    </xf>
    <xf numFmtId="0" fontId="0" fillId="8" borderId="8" xfId="0" applyFill="1" applyBorder="1"/>
    <xf numFmtId="0" fontId="0" fillId="7" borderId="1" xfId="0" applyFill="1" applyBorder="1" applyAlignment="1">
      <alignment horizontal="center"/>
    </xf>
    <xf numFmtId="0" fontId="0" fillId="7" borderId="3" xfId="0" applyFill="1" applyBorder="1" applyAlignment="1">
      <alignment horizontal="center"/>
    </xf>
    <xf numFmtId="0" fontId="0" fillId="8" borderId="7" xfId="0" applyFill="1" applyBorder="1"/>
    <xf numFmtId="0" fontId="0" fillId="8" borderId="10" xfId="0" applyFill="1" applyBorder="1" applyAlignment="1">
      <alignment horizontal="center"/>
    </xf>
    <xf numFmtId="0" fontId="0" fillId="0" borderId="6" xfId="0" applyBorder="1" applyAlignment="1">
      <alignment horizontal="center"/>
    </xf>
    <xf numFmtId="0" fontId="1" fillId="8" borderId="6" xfId="0" applyFont="1" applyFill="1" applyBorder="1" applyAlignment="1">
      <alignment horizontal="center"/>
    </xf>
    <xf numFmtId="0" fontId="1" fillId="8" borderId="7" xfId="0" applyFont="1" applyFill="1" applyBorder="1"/>
    <xf numFmtId="0" fontId="0" fillId="8" borderId="8" xfId="0" applyFill="1" applyBorder="1" applyAlignment="1">
      <alignment horizontal="center"/>
    </xf>
    <xf numFmtId="0" fontId="7" fillId="0" borderId="0" xfId="0" applyFont="1" applyFill="1"/>
    <xf numFmtId="0" fontId="0" fillId="0" borderId="0" xfId="0" applyFill="1" applyBorder="1" applyAlignment="1">
      <alignment horizontal="center"/>
    </xf>
    <xf numFmtId="0" fontId="7" fillId="0" borderId="0" xfId="0" applyFont="1" applyFill="1" applyBorder="1"/>
    <xf numFmtId="0" fontId="3" fillId="0" borderId="6" xfId="0" applyFont="1" applyFill="1" applyBorder="1"/>
    <xf numFmtId="0" fontId="3" fillId="0" borderId="3" xfId="0" applyFont="1" applyFill="1" applyBorder="1"/>
    <xf numFmtId="0" fontId="3" fillId="8" borderId="6" xfId="0" applyFont="1" applyFill="1" applyBorder="1"/>
    <xf numFmtId="0" fontId="3" fillId="0" borderId="3" xfId="0" applyFont="1" applyBorder="1"/>
    <xf numFmtId="0" fontId="1" fillId="8" borderId="7" xfId="0" applyFont="1" applyFill="1" applyBorder="1" applyAlignment="1">
      <alignment horizontal="center"/>
    </xf>
    <xf numFmtId="0" fontId="1" fillId="0" borderId="4" xfId="0" applyFont="1" applyBorder="1" applyAlignment="1">
      <alignment horizontal="center"/>
    </xf>
    <xf numFmtId="0" fontId="1" fillId="0" borderId="7" xfId="0" applyFont="1" applyBorder="1"/>
    <xf numFmtId="0" fontId="0" fillId="7" borderId="0" xfId="0" applyFill="1" applyBorder="1" applyAlignment="1">
      <alignment horizontal="center"/>
    </xf>
    <xf numFmtId="0" fontId="0" fillId="7" borderId="2" xfId="0" applyFill="1" applyBorder="1" applyAlignment="1">
      <alignment horizontal="center"/>
    </xf>
    <xf numFmtId="0" fontId="0" fillId="7" borderId="4" xfId="0" applyFill="1" applyBorder="1" applyAlignment="1">
      <alignment horizontal="center"/>
    </xf>
    <xf numFmtId="0" fontId="0" fillId="7" borderId="5" xfId="0" applyFill="1" applyBorder="1" applyAlignment="1">
      <alignment horizontal="center"/>
    </xf>
    <xf numFmtId="0" fontId="3" fillId="8" borderId="8" xfId="0" applyFont="1" applyFill="1" applyBorder="1"/>
    <xf numFmtId="0" fontId="3" fillId="8" borderId="9" xfId="0" applyFont="1" applyFill="1" applyBorder="1"/>
    <xf numFmtId="0" fontId="0" fillId="7" borderId="12" xfId="0" applyFill="1" applyBorder="1" applyAlignment="1">
      <alignment horizontal="center"/>
    </xf>
    <xf numFmtId="0" fontId="0" fillId="0" borderId="0" xfId="0" applyAlignment="1">
      <alignment horizontal="center" wrapText="1"/>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9" fillId="0" borderId="0" xfId="0" applyFont="1" applyBorder="1" applyAlignment="1">
      <alignment horizontal="center" vertical="center"/>
    </xf>
    <xf numFmtId="0" fontId="9" fillId="0" borderId="0" xfId="0" applyFont="1" applyBorder="1" applyAlignment="1">
      <alignment horizontal="center"/>
    </xf>
    <xf numFmtId="0" fontId="2" fillId="6" borderId="6" xfId="0" applyFont="1" applyFill="1" applyBorder="1" applyAlignment="1">
      <alignment horizontal="center" vertical="center"/>
    </xf>
    <xf numFmtId="0" fontId="2" fillId="6" borderId="7" xfId="0" applyFont="1" applyFill="1" applyBorder="1" applyAlignment="1">
      <alignment horizontal="center" vertical="center"/>
    </xf>
    <xf numFmtId="0" fontId="2" fillId="6" borderId="8" xfId="0" applyFont="1" applyFill="1" applyBorder="1" applyAlignment="1">
      <alignment horizontal="center" vertical="center"/>
    </xf>
    <xf numFmtId="0" fontId="2" fillId="6" borderId="3" xfId="0" applyFont="1" applyFill="1" applyBorder="1" applyAlignment="1">
      <alignment horizontal="center" vertical="center"/>
    </xf>
    <xf numFmtId="0" fontId="2" fillId="6" borderId="4" xfId="0" applyFont="1" applyFill="1" applyBorder="1" applyAlignment="1">
      <alignment horizontal="center" vertical="center"/>
    </xf>
    <xf numFmtId="0" fontId="2" fillId="6" borderId="5" xfId="0" applyFont="1" applyFill="1" applyBorder="1" applyAlignment="1">
      <alignment horizontal="center" vertical="center"/>
    </xf>
    <xf numFmtId="0" fontId="2" fillId="7" borderId="6" xfId="0" applyFont="1" applyFill="1" applyBorder="1" applyAlignment="1">
      <alignment horizontal="center" vertical="center"/>
    </xf>
    <xf numFmtId="0" fontId="2" fillId="7" borderId="7" xfId="0" applyFont="1" applyFill="1" applyBorder="1" applyAlignment="1">
      <alignment horizontal="center" vertical="center"/>
    </xf>
    <xf numFmtId="0" fontId="2" fillId="7" borderId="8" xfId="0" applyFont="1" applyFill="1" applyBorder="1" applyAlignment="1">
      <alignment horizontal="center" vertical="center"/>
    </xf>
    <xf numFmtId="0" fontId="2" fillId="7" borderId="3" xfId="0" applyFont="1" applyFill="1" applyBorder="1" applyAlignment="1">
      <alignment horizontal="center" vertical="center"/>
    </xf>
    <xf numFmtId="0" fontId="2" fillId="7" borderId="4" xfId="0" applyFont="1" applyFill="1" applyBorder="1" applyAlignment="1">
      <alignment horizontal="center" vertical="center"/>
    </xf>
    <xf numFmtId="0" fontId="2" fillId="7" borderId="5" xfId="0" applyFont="1" applyFill="1" applyBorder="1" applyAlignment="1">
      <alignment horizontal="center" vertical="center"/>
    </xf>
  </cellXfs>
  <cellStyles count="1">
    <cellStyle name="Normal" xfId="0" builtinId="0"/>
  </cellStyles>
  <dxfs count="10">
    <dxf>
      <font>
        <color rgb="FF9C6500"/>
      </font>
      <fill>
        <patternFill>
          <bgColor rgb="FFFFEB9C"/>
        </patternFill>
      </fill>
    </dxf>
    <dxf>
      <font>
        <color rgb="FF006100"/>
      </font>
      <fill>
        <patternFill>
          <bgColor rgb="FFC6EFCE"/>
        </patternFill>
      </fill>
    </dxf>
    <dxf>
      <font>
        <color rgb="FF006100"/>
      </font>
      <fill>
        <patternFill>
          <bgColor rgb="FFC6EFCE"/>
        </patternFill>
      </fill>
    </dxf>
    <dxf>
      <font>
        <color rgb="FF9C65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142875</xdr:colOff>
          <xdr:row>15</xdr:row>
          <xdr:rowOff>95250</xdr:rowOff>
        </xdr:from>
        <xdr:to>
          <xdr:col>11</xdr:col>
          <xdr:colOff>561975</xdr:colOff>
          <xdr:row>17</xdr:row>
          <xdr:rowOff>85725</xdr:rowOff>
        </xdr:to>
        <xdr:sp macro="" textlink="">
          <xdr:nvSpPr>
            <xdr:cNvPr id="4097" name="CommandButton1" hidden="1">
              <a:extLst>
                <a:ext uri="{63B3BB69-23CF-44E3-9099-C40C66FF867C}">
                  <a14:compatExt spid="_x0000_s4097"/>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5" Type="http://schemas.openxmlformats.org/officeDocument/2006/relationships/comments" Target="../comments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49"/>
  <sheetViews>
    <sheetView topLeftCell="A2" zoomScale="85" zoomScaleNormal="85" workbookViewId="0">
      <selection activeCell="D40" sqref="D40"/>
    </sheetView>
  </sheetViews>
  <sheetFormatPr defaultRowHeight="15" x14ac:dyDescent="0.25"/>
  <cols>
    <col min="2" max="2" width="14.5703125" customWidth="1"/>
    <col min="3" max="3" width="23.140625" customWidth="1"/>
    <col min="4" max="4" width="25.7109375" customWidth="1"/>
    <col min="5" max="5" width="19.5703125" customWidth="1"/>
    <col min="6" max="6" width="19.7109375" customWidth="1"/>
    <col min="7" max="8" width="31.42578125" customWidth="1"/>
    <col min="10" max="10" width="19.42578125" customWidth="1"/>
  </cols>
  <sheetData>
    <row r="1" spans="1:10" x14ac:dyDescent="0.25">
      <c r="A1" t="s">
        <v>4</v>
      </c>
      <c r="B1" t="s">
        <v>5</v>
      </c>
      <c r="C1" s="71" t="s">
        <v>23</v>
      </c>
      <c r="D1" s="71" t="s">
        <v>24</v>
      </c>
      <c r="E1" s="71" t="s">
        <v>29</v>
      </c>
      <c r="F1" s="71" t="s">
        <v>28</v>
      </c>
      <c r="G1" s="71" t="s">
        <v>25</v>
      </c>
    </row>
    <row r="2" spans="1:10" ht="44.25" customHeight="1" x14ac:dyDescent="0.25">
      <c r="C2" s="71"/>
      <c r="D2" s="71"/>
      <c r="E2" s="71"/>
      <c r="F2" s="71"/>
      <c r="G2" s="71"/>
      <c r="I2">
        <v>1</v>
      </c>
      <c r="J2" t="s">
        <v>26</v>
      </c>
    </row>
    <row r="3" spans="1:10" x14ac:dyDescent="0.25">
      <c r="A3">
        <v>1</v>
      </c>
      <c r="B3" t="s">
        <v>0</v>
      </c>
      <c r="C3" s="1">
        <v>1</v>
      </c>
      <c r="D3" s="1">
        <v>2</v>
      </c>
      <c r="E3" s="1">
        <v>3</v>
      </c>
      <c r="F3" s="1">
        <v>4</v>
      </c>
      <c r="G3" s="1">
        <v>5</v>
      </c>
      <c r="I3">
        <v>2</v>
      </c>
    </row>
    <row r="4" spans="1:10" x14ac:dyDescent="0.25">
      <c r="A4">
        <v>2</v>
      </c>
      <c r="B4" t="s">
        <v>1</v>
      </c>
      <c r="C4" s="1">
        <v>2</v>
      </c>
      <c r="D4" s="1">
        <v>5</v>
      </c>
      <c r="E4" s="1">
        <v>5</v>
      </c>
      <c r="F4" s="1">
        <v>3</v>
      </c>
      <c r="G4" s="1">
        <v>1</v>
      </c>
      <c r="I4">
        <v>3</v>
      </c>
    </row>
    <row r="5" spans="1:10" x14ac:dyDescent="0.25">
      <c r="A5">
        <v>3</v>
      </c>
      <c r="B5" t="s">
        <v>2</v>
      </c>
      <c r="C5" s="1">
        <v>4</v>
      </c>
      <c r="D5" s="1">
        <v>5</v>
      </c>
      <c r="E5" s="1">
        <v>3</v>
      </c>
      <c r="F5" s="1">
        <v>2</v>
      </c>
      <c r="G5" s="1">
        <v>1</v>
      </c>
      <c r="I5">
        <v>4</v>
      </c>
    </row>
    <row r="6" spans="1:10" x14ac:dyDescent="0.25">
      <c r="A6">
        <v>4</v>
      </c>
      <c r="B6" t="s">
        <v>3</v>
      </c>
      <c r="C6" s="1">
        <v>5</v>
      </c>
      <c r="D6" s="1">
        <v>4</v>
      </c>
      <c r="E6" s="1">
        <v>3</v>
      </c>
      <c r="F6" s="1">
        <v>2</v>
      </c>
      <c r="G6" s="1">
        <v>1</v>
      </c>
      <c r="I6">
        <v>5</v>
      </c>
      <c r="J6" t="s">
        <v>27</v>
      </c>
    </row>
    <row r="7" spans="1:10" x14ac:dyDescent="0.25">
      <c r="A7">
        <v>5</v>
      </c>
      <c r="B7" t="s">
        <v>6</v>
      </c>
      <c r="C7" s="1">
        <v>3</v>
      </c>
      <c r="D7" s="1">
        <v>2</v>
      </c>
      <c r="E7" s="1">
        <v>5</v>
      </c>
      <c r="F7" s="1">
        <v>4</v>
      </c>
      <c r="G7" s="1">
        <v>1</v>
      </c>
    </row>
    <row r="8" spans="1:10" x14ac:dyDescent="0.25">
      <c r="A8">
        <v>6</v>
      </c>
      <c r="B8" t="s">
        <v>7</v>
      </c>
      <c r="C8" s="1">
        <v>3</v>
      </c>
      <c r="D8" s="1">
        <v>2</v>
      </c>
      <c r="E8" s="1">
        <v>4</v>
      </c>
      <c r="F8" s="1">
        <v>5</v>
      </c>
      <c r="G8" s="1">
        <v>1</v>
      </c>
    </row>
    <row r="9" spans="1:10" x14ac:dyDescent="0.25">
      <c r="A9">
        <v>7</v>
      </c>
      <c r="B9" t="s">
        <v>8</v>
      </c>
      <c r="C9" s="1">
        <v>2</v>
      </c>
      <c r="D9" s="1">
        <v>5</v>
      </c>
      <c r="E9" s="1">
        <v>4</v>
      </c>
      <c r="F9" s="1">
        <v>3</v>
      </c>
      <c r="G9" s="1">
        <v>1</v>
      </c>
    </row>
    <row r="10" spans="1:10" x14ac:dyDescent="0.25">
      <c r="A10">
        <v>8</v>
      </c>
      <c r="B10" t="s">
        <v>9</v>
      </c>
      <c r="C10" s="1">
        <v>5</v>
      </c>
      <c r="D10" s="1">
        <v>2</v>
      </c>
      <c r="E10" s="1">
        <v>4</v>
      </c>
      <c r="F10" s="1">
        <v>3</v>
      </c>
      <c r="G10" s="1">
        <v>1</v>
      </c>
    </row>
    <row r="11" spans="1:10" x14ac:dyDescent="0.25">
      <c r="A11">
        <v>9</v>
      </c>
      <c r="B11" t="s">
        <v>10</v>
      </c>
      <c r="C11" s="1">
        <v>4</v>
      </c>
      <c r="D11" s="1">
        <v>5</v>
      </c>
      <c r="E11" s="1">
        <v>3</v>
      </c>
      <c r="F11" s="1">
        <v>2</v>
      </c>
      <c r="G11" s="1">
        <v>1</v>
      </c>
    </row>
    <row r="12" spans="1:10" x14ac:dyDescent="0.25">
      <c r="A12">
        <v>10</v>
      </c>
      <c r="B12" t="s">
        <v>11</v>
      </c>
      <c r="C12" s="1">
        <v>5</v>
      </c>
      <c r="D12" s="1">
        <v>2</v>
      </c>
      <c r="E12" s="1">
        <v>3</v>
      </c>
      <c r="F12" s="1">
        <v>4</v>
      </c>
      <c r="G12" s="1">
        <v>1</v>
      </c>
    </row>
    <row r="13" spans="1:10" x14ac:dyDescent="0.25">
      <c r="A13">
        <v>11</v>
      </c>
      <c r="B13" t="s">
        <v>12</v>
      </c>
      <c r="C13" s="1">
        <v>5</v>
      </c>
      <c r="D13" s="1">
        <v>2</v>
      </c>
      <c r="E13" s="1">
        <v>3</v>
      </c>
      <c r="F13" s="1">
        <v>4</v>
      </c>
      <c r="G13" s="1">
        <v>1</v>
      </c>
    </row>
    <row r="14" spans="1:10" x14ac:dyDescent="0.25">
      <c r="A14">
        <v>12</v>
      </c>
      <c r="B14" t="s">
        <v>13</v>
      </c>
      <c r="C14" s="1">
        <v>5</v>
      </c>
      <c r="D14" s="1">
        <v>4</v>
      </c>
      <c r="E14" s="1">
        <v>2</v>
      </c>
      <c r="F14" s="1">
        <v>3</v>
      </c>
      <c r="G14" s="1">
        <v>1</v>
      </c>
    </row>
    <row r="15" spans="1:10" x14ac:dyDescent="0.25">
      <c r="A15">
        <v>13</v>
      </c>
      <c r="B15" t="s">
        <v>14</v>
      </c>
      <c r="C15" s="1">
        <v>5</v>
      </c>
      <c r="D15" s="1">
        <v>2</v>
      </c>
      <c r="E15" s="1">
        <v>3</v>
      </c>
      <c r="F15" s="1">
        <v>4</v>
      </c>
      <c r="G15" s="1">
        <v>1</v>
      </c>
    </row>
    <row r="16" spans="1:10" x14ac:dyDescent="0.25">
      <c r="A16">
        <v>14</v>
      </c>
      <c r="B16" t="s">
        <v>15</v>
      </c>
      <c r="C16" s="1">
        <v>4</v>
      </c>
      <c r="D16" s="1">
        <v>5</v>
      </c>
      <c r="E16" s="1">
        <v>2</v>
      </c>
      <c r="F16" s="1">
        <v>3</v>
      </c>
      <c r="G16" s="1">
        <v>1</v>
      </c>
    </row>
    <row r="17" spans="1:7" x14ac:dyDescent="0.25">
      <c r="A17">
        <v>15</v>
      </c>
      <c r="B17" t="s">
        <v>16</v>
      </c>
      <c r="C17" s="1">
        <v>5</v>
      </c>
      <c r="D17" s="1">
        <v>4</v>
      </c>
      <c r="E17" s="1">
        <v>2</v>
      </c>
      <c r="F17" s="1">
        <v>3</v>
      </c>
      <c r="G17" s="1">
        <v>1</v>
      </c>
    </row>
    <row r="18" spans="1:7" x14ac:dyDescent="0.25">
      <c r="A18">
        <v>16</v>
      </c>
      <c r="B18" t="s">
        <v>17</v>
      </c>
      <c r="C18" s="1">
        <v>4</v>
      </c>
      <c r="D18" s="1">
        <v>5</v>
      </c>
      <c r="E18" s="1">
        <v>3</v>
      </c>
      <c r="F18" s="1">
        <v>2</v>
      </c>
      <c r="G18" s="1">
        <v>1</v>
      </c>
    </row>
    <row r="19" spans="1:7" x14ac:dyDescent="0.25">
      <c r="A19">
        <v>17</v>
      </c>
      <c r="B19" t="s">
        <v>18</v>
      </c>
      <c r="C19" s="1">
        <v>2</v>
      </c>
      <c r="D19" s="1">
        <v>3</v>
      </c>
      <c r="E19" s="1">
        <v>4</v>
      </c>
      <c r="F19" s="1">
        <v>5</v>
      </c>
      <c r="G19" s="1">
        <v>1</v>
      </c>
    </row>
    <row r="20" spans="1:7" x14ac:dyDescent="0.25">
      <c r="A20">
        <v>18</v>
      </c>
      <c r="B20" t="s">
        <v>19</v>
      </c>
      <c r="C20" s="1">
        <v>2</v>
      </c>
      <c r="D20" s="1">
        <v>3</v>
      </c>
      <c r="E20" s="1">
        <v>5</v>
      </c>
      <c r="F20" s="1">
        <v>4</v>
      </c>
      <c r="G20" s="1">
        <v>1</v>
      </c>
    </row>
    <row r="21" spans="1:7" x14ac:dyDescent="0.25">
      <c r="A21">
        <v>19</v>
      </c>
      <c r="B21" t="s">
        <v>20</v>
      </c>
      <c r="C21" s="1">
        <v>5</v>
      </c>
      <c r="D21" s="1">
        <v>4</v>
      </c>
      <c r="E21" s="1">
        <v>3</v>
      </c>
      <c r="F21" s="1">
        <v>2</v>
      </c>
      <c r="G21" s="1">
        <v>1</v>
      </c>
    </row>
    <row r="22" spans="1:7" x14ac:dyDescent="0.25">
      <c r="A22">
        <v>20</v>
      </c>
      <c r="B22" t="s">
        <v>21</v>
      </c>
      <c r="C22" s="1">
        <v>2</v>
      </c>
      <c r="D22" s="1">
        <v>5</v>
      </c>
      <c r="E22" s="1">
        <v>4</v>
      </c>
      <c r="F22" s="1">
        <v>3</v>
      </c>
      <c r="G22" s="1">
        <v>1</v>
      </c>
    </row>
    <row r="23" spans="1:7" x14ac:dyDescent="0.25">
      <c r="A23">
        <v>21</v>
      </c>
      <c r="B23" t="s">
        <v>22</v>
      </c>
      <c r="C23" s="1">
        <v>5</v>
      </c>
      <c r="D23" s="1">
        <v>2</v>
      </c>
      <c r="E23" s="1">
        <v>4</v>
      </c>
      <c r="F23" s="1">
        <v>3</v>
      </c>
      <c r="G23" s="1">
        <v>1</v>
      </c>
    </row>
    <row r="24" spans="1:7" x14ac:dyDescent="0.25">
      <c r="A24">
        <v>22</v>
      </c>
      <c r="B24" t="s">
        <v>30</v>
      </c>
      <c r="C24" s="1">
        <v>5</v>
      </c>
      <c r="D24" s="1">
        <v>3</v>
      </c>
      <c r="E24" s="1">
        <v>4</v>
      </c>
      <c r="F24" s="1">
        <v>2</v>
      </c>
      <c r="G24" s="1">
        <v>1</v>
      </c>
    </row>
    <row r="39" spans="1:1" x14ac:dyDescent="0.25">
      <c r="A39" t="s">
        <v>59</v>
      </c>
    </row>
    <row r="40" spans="1:1" x14ac:dyDescent="0.25">
      <c r="A40" t="s">
        <v>76</v>
      </c>
    </row>
    <row r="42" spans="1:1" x14ac:dyDescent="0.25">
      <c r="A42">
        <v>1</v>
      </c>
    </row>
    <row r="43" spans="1:1" x14ac:dyDescent="0.25">
      <c r="A43">
        <v>2</v>
      </c>
    </row>
    <row r="47" spans="1:1" x14ac:dyDescent="0.25">
      <c r="A47">
        <v>1</v>
      </c>
    </row>
    <row r="49" spans="1:1" x14ac:dyDescent="0.25">
      <c r="A49">
        <v>3</v>
      </c>
    </row>
  </sheetData>
  <sheetProtection password="CC75" sheet="1" objects="1" scenarios="1" selectLockedCells="1" selectUnlockedCells="1"/>
  <mergeCells count="5">
    <mergeCell ref="C1:C2"/>
    <mergeCell ref="D1:D2"/>
    <mergeCell ref="E1:E2"/>
    <mergeCell ref="F1:F2"/>
    <mergeCell ref="G1:G2"/>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T24"/>
  <sheetViews>
    <sheetView zoomScale="85" zoomScaleNormal="85" workbookViewId="0">
      <selection activeCell="G22" sqref="G22"/>
    </sheetView>
  </sheetViews>
  <sheetFormatPr defaultRowHeight="15" x14ac:dyDescent="0.25"/>
  <cols>
    <col min="2" max="2" width="14.140625" customWidth="1"/>
    <col min="3" max="3" width="9" customWidth="1"/>
    <col min="4" max="4" width="10.42578125" customWidth="1"/>
    <col min="5" max="5" width="16" customWidth="1"/>
    <col min="8" max="8" width="10.28515625" bestFit="1" customWidth="1"/>
    <col min="9" max="12" width="10.7109375" customWidth="1"/>
    <col min="13" max="13" width="12.140625" customWidth="1"/>
    <col min="15" max="15" width="15.7109375" customWidth="1"/>
    <col min="18" max="18" width="110.140625" customWidth="1"/>
    <col min="19" max="19" width="55.85546875" customWidth="1"/>
    <col min="20" max="20" width="29.140625" customWidth="1"/>
  </cols>
  <sheetData>
    <row r="1" spans="1:20" x14ac:dyDescent="0.25">
      <c r="N1" t="s">
        <v>34</v>
      </c>
      <c r="O1" t="s">
        <v>46</v>
      </c>
      <c r="P1" t="s">
        <v>35</v>
      </c>
      <c r="Q1" t="s">
        <v>36</v>
      </c>
      <c r="R1" t="s">
        <v>41</v>
      </c>
      <c r="S1" t="s">
        <v>42</v>
      </c>
      <c r="T1" t="s">
        <v>47</v>
      </c>
    </row>
    <row r="2" spans="1:20" x14ac:dyDescent="0.25">
      <c r="A2" t="s">
        <v>4</v>
      </c>
      <c r="B2" t="s">
        <v>5</v>
      </c>
      <c r="C2" s="1" t="s">
        <v>31</v>
      </c>
      <c r="D2" s="1" t="s">
        <v>32</v>
      </c>
      <c r="E2" t="s">
        <v>33</v>
      </c>
      <c r="F2" t="s">
        <v>52</v>
      </c>
      <c r="G2" t="s">
        <v>53</v>
      </c>
      <c r="H2" t="s">
        <v>54</v>
      </c>
      <c r="I2" t="s">
        <v>55</v>
      </c>
      <c r="J2" t="s">
        <v>56</v>
      </c>
      <c r="K2" t="s">
        <v>57</v>
      </c>
      <c r="N2" s="1">
        <v>1</v>
      </c>
      <c r="O2" t="s">
        <v>37</v>
      </c>
      <c r="P2" s="2">
        <v>7</v>
      </c>
      <c r="Q2" s="2">
        <v>10</v>
      </c>
      <c r="R2" t="s">
        <v>44</v>
      </c>
      <c r="T2" t="s">
        <v>48</v>
      </c>
    </row>
    <row r="3" spans="1:20" x14ac:dyDescent="0.25">
      <c r="A3" s="1">
        <v>1</v>
      </c>
      <c r="B3" t="s">
        <v>0</v>
      </c>
      <c r="C3" s="1">
        <v>2</v>
      </c>
      <c r="D3" s="1">
        <v>2</v>
      </c>
      <c r="E3" s="1">
        <v>4</v>
      </c>
      <c r="F3" s="1">
        <f>INDEX($N$1:$Q$5,MATCH(C3,$N$1:$N$5,0),3)</f>
        <v>4</v>
      </c>
      <c r="G3" s="1">
        <f>INDEX($N$1:$Q$5,MATCH(C3,$N$1:$N$5,0),4)</f>
        <v>6</v>
      </c>
      <c r="H3" s="1">
        <f>INDEX($N$1:$Q$5,MATCH(D3,$N$1:$N$5,0),3)</f>
        <v>4</v>
      </c>
      <c r="I3" s="1">
        <f>INDEX($N$1:$Q$5,MATCH(D3,$N$1:$N$5,0),4)</f>
        <v>6</v>
      </c>
      <c r="J3" s="1">
        <f>INDEX($N$1:$Q$5,MATCH(E3,$N$1:$N$5,0),3)</f>
        <v>0</v>
      </c>
      <c r="K3" s="1">
        <f>INDEX($N$1:$Q$5,MATCH(E3,$N$1:$N$5,0),4)</f>
        <v>0</v>
      </c>
      <c r="L3" s="1"/>
      <c r="N3" s="1">
        <v>2</v>
      </c>
      <c r="O3" t="s">
        <v>38</v>
      </c>
      <c r="P3" s="2">
        <v>4</v>
      </c>
      <c r="Q3" s="2">
        <v>6</v>
      </c>
      <c r="R3" t="s">
        <v>43</v>
      </c>
      <c r="T3" t="s">
        <v>49</v>
      </c>
    </row>
    <row r="4" spans="1:20" x14ac:dyDescent="0.25">
      <c r="A4" s="1">
        <v>2</v>
      </c>
      <c r="B4" t="s">
        <v>1</v>
      </c>
      <c r="C4" s="1">
        <v>2</v>
      </c>
      <c r="D4" s="1">
        <v>1</v>
      </c>
      <c r="E4" s="1">
        <v>4</v>
      </c>
      <c r="F4" s="1">
        <f t="shared" ref="F4:F24" si="0">INDEX($N$1:$Q$5,MATCH(C4,$N$1:$N$5,0),3)</f>
        <v>4</v>
      </c>
      <c r="G4" s="1">
        <f t="shared" ref="G4:G24" si="1">INDEX($N$1:$Q$5,MATCH(C4,$N$1:$N$5,0),4)</f>
        <v>6</v>
      </c>
      <c r="H4" s="1">
        <f t="shared" ref="H4:H24" si="2">INDEX($N$1:$Q$5,MATCH(D4,$N$1:$N$5,0),3)</f>
        <v>7</v>
      </c>
      <c r="I4" s="1">
        <f t="shared" ref="I4:I24" si="3">INDEX($N$1:$Q$5,MATCH(D4,$N$1:$N$5,0),4)</f>
        <v>10</v>
      </c>
      <c r="J4" s="1">
        <f t="shared" ref="J4:J24" si="4">INDEX($N$1:$Q$5,MATCH(E4,$N$1:$N$5,0),3)</f>
        <v>0</v>
      </c>
      <c r="K4" s="1">
        <f t="shared" ref="K4:K24" si="5">INDEX($N$1:$Q$5,MATCH(E4,$N$1:$N$5,0),4)</f>
        <v>0</v>
      </c>
      <c r="L4" s="1"/>
      <c r="N4" s="1">
        <v>3</v>
      </c>
      <c r="O4" t="s">
        <v>39</v>
      </c>
      <c r="P4" s="2">
        <v>1</v>
      </c>
      <c r="Q4" s="2">
        <v>3</v>
      </c>
      <c r="R4" t="s">
        <v>73</v>
      </c>
      <c r="T4" t="s">
        <v>50</v>
      </c>
    </row>
    <row r="5" spans="1:20" x14ac:dyDescent="0.25">
      <c r="A5" s="1">
        <v>3</v>
      </c>
      <c r="B5" t="s">
        <v>2</v>
      </c>
      <c r="C5" s="1">
        <v>1</v>
      </c>
      <c r="D5" s="1">
        <v>1</v>
      </c>
      <c r="E5" s="1">
        <v>3</v>
      </c>
      <c r="F5" s="1">
        <f t="shared" si="0"/>
        <v>7</v>
      </c>
      <c r="G5" s="1">
        <f t="shared" si="1"/>
        <v>10</v>
      </c>
      <c r="H5" s="1">
        <f t="shared" si="2"/>
        <v>7</v>
      </c>
      <c r="I5" s="1">
        <f t="shared" si="3"/>
        <v>10</v>
      </c>
      <c r="J5" s="1">
        <f t="shared" si="4"/>
        <v>1</v>
      </c>
      <c r="K5" s="1">
        <f t="shared" si="5"/>
        <v>3</v>
      </c>
      <c r="L5" s="1"/>
      <c r="N5" s="1">
        <v>4</v>
      </c>
      <c r="O5" t="s">
        <v>40</v>
      </c>
      <c r="P5" s="2">
        <v>0</v>
      </c>
      <c r="Q5" s="2">
        <v>0</v>
      </c>
      <c r="R5" t="s">
        <v>45</v>
      </c>
      <c r="T5" t="s">
        <v>51</v>
      </c>
    </row>
    <row r="6" spans="1:20" x14ac:dyDescent="0.25">
      <c r="A6" s="1">
        <v>4</v>
      </c>
      <c r="B6" t="s">
        <v>3</v>
      </c>
      <c r="C6" s="1">
        <v>1</v>
      </c>
      <c r="D6" s="1">
        <v>2</v>
      </c>
      <c r="E6" s="1">
        <v>2</v>
      </c>
      <c r="F6" s="1">
        <f t="shared" si="0"/>
        <v>7</v>
      </c>
      <c r="G6" s="1">
        <f t="shared" si="1"/>
        <v>10</v>
      </c>
      <c r="H6" s="1">
        <f t="shared" si="2"/>
        <v>4</v>
      </c>
      <c r="I6" s="1">
        <f t="shared" si="3"/>
        <v>6</v>
      </c>
      <c r="J6" s="1">
        <f t="shared" si="4"/>
        <v>4</v>
      </c>
      <c r="K6" s="1">
        <f t="shared" si="5"/>
        <v>6</v>
      </c>
      <c r="L6" s="1"/>
    </row>
    <row r="7" spans="1:20" x14ac:dyDescent="0.25">
      <c r="A7" s="1">
        <v>5</v>
      </c>
      <c r="B7" t="s">
        <v>6</v>
      </c>
      <c r="C7" s="1">
        <v>2</v>
      </c>
      <c r="D7" s="1">
        <v>2</v>
      </c>
      <c r="E7" s="1">
        <v>4</v>
      </c>
      <c r="F7" s="1">
        <f t="shared" si="0"/>
        <v>4</v>
      </c>
      <c r="G7" s="1">
        <f t="shared" si="1"/>
        <v>6</v>
      </c>
      <c r="H7" s="1">
        <f t="shared" si="2"/>
        <v>4</v>
      </c>
      <c r="I7" s="1">
        <f t="shared" si="3"/>
        <v>6</v>
      </c>
      <c r="J7" s="1">
        <f t="shared" si="4"/>
        <v>0</v>
      </c>
      <c r="K7" s="1">
        <f t="shared" si="5"/>
        <v>0</v>
      </c>
      <c r="L7" s="1"/>
    </row>
    <row r="8" spans="1:20" x14ac:dyDescent="0.25">
      <c r="A8" s="1">
        <v>6</v>
      </c>
      <c r="B8" t="s">
        <v>7</v>
      </c>
      <c r="C8" s="1">
        <v>3</v>
      </c>
      <c r="D8" s="1">
        <v>3</v>
      </c>
      <c r="E8" s="1">
        <v>4</v>
      </c>
      <c r="F8" s="1">
        <f t="shared" si="0"/>
        <v>1</v>
      </c>
      <c r="G8" s="1">
        <f t="shared" si="1"/>
        <v>3</v>
      </c>
      <c r="H8" s="1">
        <f t="shared" si="2"/>
        <v>1</v>
      </c>
      <c r="I8" s="1">
        <f t="shared" si="3"/>
        <v>3</v>
      </c>
      <c r="J8" s="1">
        <f t="shared" si="4"/>
        <v>0</v>
      </c>
      <c r="K8" s="1">
        <f t="shared" si="5"/>
        <v>0</v>
      </c>
      <c r="L8" s="1"/>
    </row>
    <row r="9" spans="1:20" x14ac:dyDescent="0.25">
      <c r="A9" s="1">
        <v>7</v>
      </c>
      <c r="B9" t="s">
        <v>8</v>
      </c>
      <c r="C9" s="1">
        <v>2</v>
      </c>
      <c r="D9" s="1">
        <v>1</v>
      </c>
      <c r="E9" s="1">
        <v>4</v>
      </c>
      <c r="F9" s="1">
        <f t="shared" si="0"/>
        <v>4</v>
      </c>
      <c r="G9" s="1">
        <f t="shared" si="1"/>
        <v>6</v>
      </c>
      <c r="H9" s="1">
        <f t="shared" si="2"/>
        <v>7</v>
      </c>
      <c r="I9" s="1">
        <f t="shared" si="3"/>
        <v>10</v>
      </c>
      <c r="J9" s="1">
        <f t="shared" si="4"/>
        <v>0</v>
      </c>
      <c r="K9" s="1">
        <f t="shared" si="5"/>
        <v>0</v>
      </c>
      <c r="L9" s="1"/>
    </row>
    <row r="10" spans="1:20" x14ac:dyDescent="0.25">
      <c r="A10" s="1">
        <v>8</v>
      </c>
      <c r="B10" t="s">
        <v>9</v>
      </c>
      <c r="C10" s="1">
        <v>1</v>
      </c>
      <c r="D10" s="1">
        <v>4</v>
      </c>
      <c r="E10" s="1">
        <v>1</v>
      </c>
      <c r="F10" s="1">
        <f t="shared" si="0"/>
        <v>7</v>
      </c>
      <c r="G10" s="1">
        <f t="shared" si="1"/>
        <v>10</v>
      </c>
      <c r="H10" s="1">
        <f t="shared" si="2"/>
        <v>0</v>
      </c>
      <c r="I10" s="1">
        <f t="shared" si="3"/>
        <v>0</v>
      </c>
      <c r="J10" s="1">
        <f t="shared" si="4"/>
        <v>7</v>
      </c>
      <c r="K10" s="1">
        <f t="shared" si="5"/>
        <v>10</v>
      </c>
      <c r="L10" s="1"/>
    </row>
    <row r="11" spans="1:20" x14ac:dyDescent="0.25">
      <c r="A11" s="1">
        <v>9</v>
      </c>
      <c r="B11" t="s">
        <v>10</v>
      </c>
      <c r="C11" s="1">
        <v>2</v>
      </c>
      <c r="D11" s="1">
        <v>2</v>
      </c>
      <c r="E11" s="1">
        <v>1</v>
      </c>
      <c r="F11" s="1">
        <f t="shared" si="0"/>
        <v>4</v>
      </c>
      <c r="G11" s="1">
        <f t="shared" si="1"/>
        <v>6</v>
      </c>
      <c r="H11" s="1">
        <f t="shared" si="2"/>
        <v>4</v>
      </c>
      <c r="I11" s="1">
        <f t="shared" si="3"/>
        <v>6</v>
      </c>
      <c r="J11" s="1">
        <f t="shared" si="4"/>
        <v>7</v>
      </c>
      <c r="K11" s="1">
        <f t="shared" si="5"/>
        <v>10</v>
      </c>
      <c r="L11" s="1"/>
    </row>
    <row r="12" spans="1:20" x14ac:dyDescent="0.25">
      <c r="A12" s="1">
        <v>10</v>
      </c>
      <c r="B12" t="s">
        <v>11</v>
      </c>
      <c r="C12" s="1">
        <v>3</v>
      </c>
      <c r="D12" s="1">
        <v>3</v>
      </c>
      <c r="E12" s="1">
        <v>4</v>
      </c>
      <c r="F12" s="1">
        <f t="shared" si="0"/>
        <v>1</v>
      </c>
      <c r="G12" s="1">
        <f t="shared" si="1"/>
        <v>3</v>
      </c>
      <c r="H12" s="1">
        <f t="shared" si="2"/>
        <v>1</v>
      </c>
      <c r="I12" s="1">
        <f t="shared" si="3"/>
        <v>3</v>
      </c>
      <c r="J12" s="1">
        <f t="shared" si="4"/>
        <v>0</v>
      </c>
      <c r="K12" s="1">
        <f t="shared" si="5"/>
        <v>0</v>
      </c>
      <c r="L12" s="1"/>
    </row>
    <row r="13" spans="1:20" x14ac:dyDescent="0.25">
      <c r="A13" s="1">
        <v>11</v>
      </c>
      <c r="B13" t="s">
        <v>12</v>
      </c>
      <c r="C13" s="1">
        <v>3</v>
      </c>
      <c r="D13" s="1">
        <v>3</v>
      </c>
      <c r="E13" s="1">
        <v>4</v>
      </c>
      <c r="F13" s="1">
        <f t="shared" si="0"/>
        <v>1</v>
      </c>
      <c r="G13" s="1">
        <f t="shared" si="1"/>
        <v>3</v>
      </c>
      <c r="H13" s="1">
        <f t="shared" si="2"/>
        <v>1</v>
      </c>
      <c r="I13" s="1">
        <f t="shared" si="3"/>
        <v>3</v>
      </c>
      <c r="J13" s="1">
        <f t="shared" si="4"/>
        <v>0</v>
      </c>
      <c r="K13" s="1">
        <f t="shared" si="5"/>
        <v>0</v>
      </c>
      <c r="L13" s="1"/>
    </row>
    <row r="14" spans="1:20" x14ac:dyDescent="0.25">
      <c r="A14" s="1">
        <v>12</v>
      </c>
      <c r="B14" t="s">
        <v>13</v>
      </c>
      <c r="C14" s="1">
        <v>1</v>
      </c>
      <c r="D14" s="1">
        <v>1</v>
      </c>
      <c r="E14" s="1">
        <v>3</v>
      </c>
      <c r="F14" s="1">
        <f t="shared" si="0"/>
        <v>7</v>
      </c>
      <c r="G14" s="1">
        <f t="shared" si="1"/>
        <v>10</v>
      </c>
      <c r="H14" s="1">
        <f t="shared" si="2"/>
        <v>7</v>
      </c>
      <c r="I14" s="1">
        <f t="shared" si="3"/>
        <v>10</v>
      </c>
      <c r="J14" s="1">
        <f t="shared" si="4"/>
        <v>1</v>
      </c>
      <c r="K14" s="1">
        <f t="shared" si="5"/>
        <v>3</v>
      </c>
      <c r="L14" s="1"/>
    </row>
    <row r="15" spans="1:20" x14ac:dyDescent="0.25">
      <c r="A15" s="1">
        <v>13</v>
      </c>
      <c r="B15" t="s">
        <v>14</v>
      </c>
      <c r="C15" s="1">
        <v>3</v>
      </c>
      <c r="D15" s="1">
        <v>3</v>
      </c>
      <c r="E15" s="1">
        <v>4</v>
      </c>
      <c r="F15" s="1">
        <f t="shared" si="0"/>
        <v>1</v>
      </c>
      <c r="G15" s="1">
        <f t="shared" si="1"/>
        <v>3</v>
      </c>
      <c r="H15" s="1">
        <f t="shared" si="2"/>
        <v>1</v>
      </c>
      <c r="I15" s="1">
        <f t="shared" si="3"/>
        <v>3</v>
      </c>
      <c r="J15" s="1">
        <f t="shared" si="4"/>
        <v>0</v>
      </c>
      <c r="K15" s="1">
        <f t="shared" si="5"/>
        <v>0</v>
      </c>
      <c r="L15" s="1"/>
    </row>
    <row r="16" spans="1:20" x14ac:dyDescent="0.25">
      <c r="A16" s="1">
        <v>14</v>
      </c>
      <c r="B16" t="s">
        <v>15</v>
      </c>
      <c r="C16" s="1">
        <v>3</v>
      </c>
      <c r="D16" s="1">
        <v>2</v>
      </c>
      <c r="E16" s="1">
        <v>3</v>
      </c>
      <c r="F16" s="1">
        <f t="shared" si="0"/>
        <v>1</v>
      </c>
      <c r="G16" s="1">
        <f t="shared" si="1"/>
        <v>3</v>
      </c>
      <c r="H16" s="1">
        <f t="shared" si="2"/>
        <v>4</v>
      </c>
      <c r="I16" s="1">
        <f t="shared" si="3"/>
        <v>6</v>
      </c>
      <c r="J16" s="1">
        <f t="shared" si="4"/>
        <v>1</v>
      </c>
      <c r="K16" s="1">
        <f t="shared" si="5"/>
        <v>3</v>
      </c>
      <c r="L16" s="1"/>
    </row>
    <row r="17" spans="1:12" x14ac:dyDescent="0.25">
      <c r="A17" s="1">
        <v>15</v>
      </c>
      <c r="B17" t="s">
        <v>16</v>
      </c>
      <c r="C17" s="1">
        <v>2</v>
      </c>
      <c r="D17" s="1">
        <v>2</v>
      </c>
      <c r="E17" s="1">
        <v>4</v>
      </c>
      <c r="F17" s="1">
        <f t="shared" si="0"/>
        <v>4</v>
      </c>
      <c r="G17" s="1">
        <f t="shared" si="1"/>
        <v>6</v>
      </c>
      <c r="H17" s="1">
        <f t="shared" si="2"/>
        <v>4</v>
      </c>
      <c r="I17" s="1">
        <f t="shared" si="3"/>
        <v>6</v>
      </c>
      <c r="J17" s="1">
        <f t="shared" si="4"/>
        <v>0</v>
      </c>
      <c r="K17" s="1">
        <f t="shared" si="5"/>
        <v>0</v>
      </c>
      <c r="L17" s="1"/>
    </row>
    <row r="18" spans="1:12" x14ac:dyDescent="0.25">
      <c r="A18" s="1">
        <v>16</v>
      </c>
      <c r="B18" t="s">
        <v>17</v>
      </c>
      <c r="C18" s="1">
        <v>2</v>
      </c>
      <c r="D18" s="1">
        <v>2</v>
      </c>
      <c r="E18" s="1">
        <v>3</v>
      </c>
      <c r="F18" s="1">
        <f t="shared" si="0"/>
        <v>4</v>
      </c>
      <c r="G18" s="1">
        <f t="shared" si="1"/>
        <v>6</v>
      </c>
      <c r="H18" s="1">
        <f t="shared" si="2"/>
        <v>4</v>
      </c>
      <c r="I18" s="1">
        <f t="shared" si="3"/>
        <v>6</v>
      </c>
      <c r="J18" s="1">
        <f t="shared" si="4"/>
        <v>1</v>
      </c>
      <c r="K18" s="1">
        <f t="shared" si="5"/>
        <v>3</v>
      </c>
      <c r="L18" s="1"/>
    </row>
    <row r="19" spans="1:12" x14ac:dyDescent="0.25">
      <c r="A19" s="1">
        <v>17</v>
      </c>
      <c r="B19" t="s">
        <v>18</v>
      </c>
      <c r="C19" s="1">
        <v>2</v>
      </c>
      <c r="D19" s="1">
        <v>2</v>
      </c>
      <c r="E19" s="1">
        <v>4</v>
      </c>
      <c r="F19" s="1">
        <f t="shared" si="0"/>
        <v>4</v>
      </c>
      <c r="G19" s="1">
        <f t="shared" si="1"/>
        <v>6</v>
      </c>
      <c r="H19" s="1">
        <f t="shared" si="2"/>
        <v>4</v>
      </c>
      <c r="I19" s="1">
        <f t="shared" si="3"/>
        <v>6</v>
      </c>
      <c r="J19" s="1">
        <f t="shared" si="4"/>
        <v>0</v>
      </c>
      <c r="K19" s="1">
        <f t="shared" si="5"/>
        <v>0</v>
      </c>
      <c r="L19" s="1"/>
    </row>
    <row r="20" spans="1:12" x14ac:dyDescent="0.25">
      <c r="A20" s="1">
        <v>18</v>
      </c>
      <c r="B20" t="s">
        <v>19</v>
      </c>
      <c r="C20" s="1">
        <v>1</v>
      </c>
      <c r="D20" s="1">
        <v>1</v>
      </c>
      <c r="E20" s="1">
        <v>4</v>
      </c>
      <c r="F20" s="1">
        <f t="shared" si="0"/>
        <v>7</v>
      </c>
      <c r="G20" s="1">
        <f t="shared" si="1"/>
        <v>10</v>
      </c>
      <c r="H20" s="1">
        <f t="shared" si="2"/>
        <v>7</v>
      </c>
      <c r="I20" s="1">
        <f t="shared" si="3"/>
        <v>10</v>
      </c>
      <c r="J20" s="1">
        <f t="shared" si="4"/>
        <v>0</v>
      </c>
      <c r="K20" s="1">
        <f t="shared" si="5"/>
        <v>0</v>
      </c>
      <c r="L20" s="1"/>
    </row>
    <row r="21" spans="1:12" x14ac:dyDescent="0.25">
      <c r="A21" s="1">
        <v>19</v>
      </c>
      <c r="B21" t="s">
        <v>20</v>
      </c>
      <c r="C21" s="1">
        <v>1</v>
      </c>
      <c r="D21" s="1">
        <v>1</v>
      </c>
      <c r="E21" s="1">
        <v>3</v>
      </c>
      <c r="F21" s="1">
        <f t="shared" si="0"/>
        <v>7</v>
      </c>
      <c r="G21" s="1">
        <f t="shared" si="1"/>
        <v>10</v>
      </c>
      <c r="H21" s="1">
        <f t="shared" si="2"/>
        <v>7</v>
      </c>
      <c r="I21" s="1">
        <f t="shared" si="3"/>
        <v>10</v>
      </c>
      <c r="J21" s="1">
        <f t="shared" si="4"/>
        <v>1</v>
      </c>
      <c r="K21" s="1">
        <f t="shared" si="5"/>
        <v>3</v>
      </c>
      <c r="L21" s="1"/>
    </row>
    <row r="22" spans="1:12" x14ac:dyDescent="0.25">
      <c r="A22" s="1">
        <v>20</v>
      </c>
      <c r="B22" t="s">
        <v>21</v>
      </c>
      <c r="C22" s="1">
        <v>2</v>
      </c>
      <c r="D22" s="1">
        <v>1</v>
      </c>
      <c r="E22" s="1">
        <v>4</v>
      </c>
      <c r="F22" s="1">
        <f t="shared" si="0"/>
        <v>4</v>
      </c>
      <c r="G22" s="1">
        <f t="shared" si="1"/>
        <v>6</v>
      </c>
      <c r="H22" s="1">
        <f t="shared" si="2"/>
        <v>7</v>
      </c>
      <c r="I22" s="1">
        <f t="shared" si="3"/>
        <v>10</v>
      </c>
      <c r="J22" s="1">
        <f t="shared" si="4"/>
        <v>0</v>
      </c>
      <c r="K22" s="1">
        <f t="shared" si="5"/>
        <v>0</v>
      </c>
      <c r="L22" s="1"/>
    </row>
    <row r="23" spans="1:12" x14ac:dyDescent="0.25">
      <c r="A23" s="1">
        <v>21</v>
      </c>
      <c r="B23" t="s">
        <v>22</v>
      </c>
      <c r="C23" s="1">
        <v>1</v>
      </c>
      <c r="D23" s="1">
        <v>1</v>
      </c>
      <c r="E23" s="1">
        <v>4</v>
      </c>
      <c r="F23" s="1">
        <f t="shared" si="0"/>
        <v>7</v>
      </c>
      <c r="G23" s="1">
        <f t="shared" si="1"/>
        <v>10</v>
      </c>
      <c r="H23" s="1">
        <f t="shared" si="2"/>
        <v>7</v>
      </c>
      <c r="I23" s="1">
        <f t="shared" si="3"/>
        <v>10</v>
      </c>
      <c r="J23" s="1">
        <f t="shared" si="4"/>
        <v>0</v>
      </c>
      <c r="K23" s="1">
        <f t="shared" si="5"/>
        <v>0</v>
      </c>
      <c r="L23" s="1"/>
    </row>
    <row r="24" spans="1:12" x14ac:dyDescent="0.25">
      <c r="A24" s="1">
        <v>22</v>
      </c>
      <c r="B24" t="s">
        <v>79</v>
      </c>
      <c r="C24" s="1">
        <v>3</v>
      </c>
      <c r="D24" s="1">
        <v>3</v>
      </c>
      <c r="E24" s="1">
        <v>4</v>
      </c>
      <c r="F24" s="1">
        <f t="shared" si="0"/>
        <v>1</v>
      </c>
      <c r="G24" s="1">
        <f t="shared" si="1"/>
        <v>3</v>
      </c>
      <c r="H24" s="1">
        <f t="shared" si="2"/>
        <v>1</v>
      </c>
      <c r="I24" s="1">
        <f t="shared" si="3"/>
        <v>3</v>
      </c>
      <c r="J24" s="1">
        <f t="shared" si="4"/>
        <v>0</v>
      </c>
      <c r="K24" s="1">
        <f t="shared" si="5"/>
        <v>0</v>
      </c>
      <c r="L24" s="1"/>
    </row>
  </sheetData>
  <sheetProtection password="CC75" sheet="1" objects="1" scenarios="1" selectLockedCells="1" selectUnlockedCells="1"/>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AC37"/>
  <sheetViews>
    <sheetView showGridLines="0" tabSelected="1" topLeftCell="B1" zoomScale="85" zoomScaleNormal="85" workbookViewId="0">
      <selection activeCell="N39" sqref="N39"/>
    </sheetView>
  </sheetViews>
  <sheetFormatPr defaultRowHeight="15" x14ac:dyDescent="0.25"/>
  <cols>
    <col min="1" max="1" width="0" hidden="1" customWidth="1"/>
    <col min="3" max="3" width="6.140625" customWidth="1"/>
    <col min="4" max="4" width="18.7109375" customWidth="1"/>
    <col min="5" max="5" width="18.7109375" hidden="1" customWidth="1"/>
    <col min="6" max="6" width="12.7109375" customWidth="1"/>
    <col min="7" max="11" width="9.42578125" style="1" customWidth="1"/>
    <col min="12" max="12" width="10" customWidth="1"/>
    <col min="15" max="15" width="4.7109375" customWidth="1"/>
    <col min="17" max="17" width="3.28515625" customWidth="1"/>
    <col min="18" max="18" width="12.28515625" customWidth="1"/>
    <col min="19" max="20" width="9.7109375" customWidth="1"/>
    <col min="24" max="24" width="4.28515625" customWidth="1"/>
    <col min="25" max="25" width="11.140625" customWidth="1"/>
  </cols>
  <sheetData>
    <row r="2" spans="1:29" x14ac:dyDescent="0.25">
      <c r="C2" s="26"/>
      <c r="D2" s="16"/>
      <c r="E2" s="16"/>
      <c r="F2" s="16"/>
      <c r="G2" s="18"/>
      <c r="H2" s="18"/>
      <c r="I2" s="18"/>
      <c r="J2" s="18"/>
      <c r="K2" s="18"/>
      <c r="L2" s="16"/>
      <c r="M2" s="16"/>
      <c r="N2" s="17"/>
      <c r="O2" s="56"/>
      <c r="P2" s="26"/>
      <c r="Q2" s="16"/>
      <c r="R2" s="16"/>
      <c r="S2" s="16"/>
      <c r="T2" s="16"/>
      <c r="U2" s="16"/>
      <c r="V2" s="16"/>
      <c r="W2" s="16"/>
      <c r="X2" s="16"/>
      <c r="Y2" s="16"/>
      <c r="Z2" s="16"/>
      <c r="AA2" s="16"/>
      <c r="AB2" s="16"/>
      <c r="AC2" s="17"/>
    </row>
    <row r="3" spans="1:29" ht="15" customHeight="1" x14ac:dyDescent="0.25">
      <c r="C3" s="37"/>
      <c r="D3" s="75" t="s">
        <v>80</v>
      </c>
      <c r="E3" s="75"/>
      <c r="F3" s="75"/>
      <c r="G3" s="75"/>
      <c r="H3" s="14"/>
      <c r="I3" s="14"/>
      <c r="J3" s="14"/>
      <c r="K3" s="14"/>
      <c r="L3" s="3"/>
      <c r="M3" s="3"/>
      <c r="N3" s="27"/>
      <c r="O3" s="56"/>
      <c r="P3" s="37"/>
      <c r="Q3" s="74" t="s">
        <v>83</v>
      </c>
      <c r="R3" s="74"/>
      <c r="S3" s="74"/>
      <c r="T3" s="74"/>
      <c r="U3" s="74"/>
      <c r="V3" s="74"/>
      <c r="W3" s="74"/>
      <c r="X3" s="74"/>
      <c r="Y3" s="74"/>
      <c r="Z3" s="74"/>
      <c r="AA3" s="74"/>
      <c r="AB3" s="74"/>
      <c r="AC3" s="27"/>
    </row>
    <row r="4" spans="1:29" ht="18.75" customHeight="1" x14ac:dyDescent="0.25">
      <c r="C4" s="37"/>
      <c r="D4" s="75"/>
      <c r="E4" s="75"/>
      <c r="F4" s="75"/>
      <c r="G4" s="75"/>
      <c r="H4" s="14"/>
      <c r="I4" s="14"/>
      <c r="J4" s="14"/>
      <c r="K4" s="14"/>
      <c r="L4" s="3"/>
      <c r="M4" s="3"/>
      <c r="N4" s="27"/>
      <c r="O4" s="56"/>
      <c r="P4" s="37"/>
      <c r="Q4" s="74"/>
      <c r="R4" s="74"/>
      <c r="S4" s="74"/>
      <c r="T4" s="74"/>
      <c r="U4" s="74"/>
      <c r="V4" s="74"/>
      <c r="W4" s="74"/>
      <c r="X4" s="74"/>
      <c r="Y4" s="74"/>
      <c r="Z4" s="74"/>
      <c r="AA4" s="74"/>
      <c r="AB4" s="74"/>
      <c r="AC4" s="27"/>
    </row>
    <row r="5" spans="1:29" x14ac:dyDescent="0.25">
      <c r="C5" s="37"/>
      <c r="D5" s="3"/>
      <c r="E5" s="3"/>
      <c r="F5" s="3"/>
      <c r="G5" s="14"/>
      <c r="H5" s="14"/>
      <c r="I5" s="14"/>
      <c r="J5" s="14"/>
      <c r="K5" s="14"/>
      <c r="L5" s="3"/>
      <c r="M5" s="3"/>
      <c r="N5" s="27"/>
      <c r="O5" s="56"/>
      <c r="P5" s="37"/>
      <c r="Q5" s="3"/>
      <c r="R5" s="3"/>
      <c r="S5" s="3"/>
      <c r="T5" s="3"/>
      <c r="U5" s="3"/>
      <c r="V5" s="3"/>
      <c r="W5" s="3"/>
      <c r="X5" s="3"/>
      <c r="Y5" s="3"/>
      <c r="Z5" s="3"/>
      <c r="AA5" s="3"/>
      <c r="AB5" s="3"/>
      <c r="AC5" s="27"/>
    </row>
    <row r="6" spans="1:29" x14ac:dyDescent="0.25">
      <c r="A6" t="s">
        <v>4</v>
      </c>
      <c r="C6" s="59" t="s">
        <v>4</v>
      </c>
      <c r="D6" s="68" t="s">
        <v>5</v>
      </c>
      <c r="E6" s="63" t="s">
        <v>64</v>
      </c>
      <c r="F6" s="34" t="s">
        <v>58</v>
      </c>
      <c r="G6" s="35" t="s">
        <v>60</v>
      </c>
      <c r="H6" s="36" t="s">
        <v>78</v>
      </c>
      <c r="I6" s="3"/>
      <c r="J6" s="3"/>
      <c r="K6" s="3"/>
      <c r="L6" s="3"/>
      <c r="M6" s="3"/>
      <c r="N6" s="27"/>
      <c r="O6" s="56"/>
      <c r="P6" s="37"/>
      <c r="Q6" s="3"/>
      <c r="R6" s="3"/>
      <c r="S6" s="3"/>
      <c r="T6" s="3"/>
      <c r="U6" s="3"/>
      <c r="V6" s="3"/>
      <c r="W6" s="3"/>
      <c r="X6" s="3"/>
      <c r="Y6" s="3"/>
      <c r="Z6" s="3"/>
      <c r="AA6" s="3"/>
      <c r="AB6" s="3"/>
      <c r="AC6" s="27"/>
    </row>
    <row r="7" spans="1:29" x14ac:dyDescent="0.25">
      <c r="A7" s="1">
        <f ca="1">RAND()</f>
        <v>0.31533430808682006</v>
      </c>
      <c r="B7" s="1"/>
      <c r="C7" s="30">
        <v>1</v>
      </c>
      <c r="D7" s="31" t="str">
        <f>INDEX(Profile!$A$2:$B$24,MATCH(Select!C7,Profile!$A$2:$A$24,0),2)</f>
        <v>Ram</v>
      </c>
      <c r="E7" s="3"/>
      <c r="F7" s="13" t="s">
        <v>59</v>
      </c>
      <c r="G7" s="14"/>
      <c r="H7" s="15">
        <v>1</v>
      </c>
      <c r="I7" s="14"/>
      <c r="J7" s="14"/>
      <c r="K7" s="14"/>
      <c r="L7" s="14"/>
      <c r="M7" s="3"/>
      <c r="N7" s="27"/>
      <c r="O7" s="56"/>
      <c r="P7" s="37"/>
      <c r="Q7" s="76" t="s">
        <v>61</v>
      </c>
      <c r="R7" s="77"/>
      <c r="S7" s="77"/>
      <c r="T7" s="77"/>
      <c r="U7" s="78"/>
      <c r="V7" s="3"/>
      <c r="W7" s="3"/>
      <c r="X7" s="82" t="s">
        <v>62</v>
      </c>
      <c r="Y7" s="83"/>
      <c r="Z7" s="83"/>
      <c r="AA7" s="83"/>
      <c r="AB7" s="84"/>
      <c r="AC7" s="27"/>
    </row>
    <row r="8" spans="1:29" x14ac:dyDescent="0.25">
      <c r="A8" s="1">
        <f t="shared" ref="A8:A28" ca="1" si="0">RAND()</f>
        <v>0.2126476030791099</v>
      </c>
      <c r="B8" s="1"/>
      <c r="C8" s="30">
        <v>2</v>
      </c>
      <c r="D8" s="31" t="str">
        <f>INDEX(Profile!$A$2:$B$24,MATCH(Select!C8,Profile!$A$2:$A$24,0),2)</f>
        <v>Nikunj</v>
      </c>
      <c r="E8" s="3"/>
      <c r="F8" s="46" t="s">
        <v>59</v>
      </c>
      <c r="G8" s="64">
        <v>1</v>
      </c>
      <c r="H8" s="65">
        <v>1</v>
      </c>
      <c r="I8" s="14"/>
      <c r="J8" s="14"/>
      <c r="K8" s="14"/>
      <c r="L8" s="14"/>
      <c r="M8" s="3"/>
      <c r="N8" s="27"/>
      <c r="O8" s="56"/>
      <c r="P8" s="37"/>
      <c r="Q8" s="79"/>
      <c r="R8" s="80"/>
      <c r="S8" s="80"/>
      <c r="T8" s="80"/>
      <c r="U8" s="81"/>
      <c r="V8" s="20"/>
      <c r="W8" s="3"/>
      <c r="X8" s="85"/>
      <c r="Y8" s="86"/>
      <c r="Z8" s="86"/>
      <c r="AA8" s="86"/>
      <c r="AB8" s="87"/>
      <c r="AC8" s="27"/>
    </row>
    <row r="9" spans="1:29" x14ac:dyDescent="0.25">
      <c r="A9" s="1">
        <f t="shared" ca="1" si="0"/>
        <v>0.64498456848334551</v>
      </c>
      <c r="B9" s="1"/>
      <c r="C9" s="30">
        <v>3</v>
      </c>
      <c r="D9" s="31" t="str">
        <f>INDEX(Profile!$A$2:$B$24,MATCH(Select!C9,Profile!$A$2:$A$24,0),2)</f>
        <v>Rutvik</v>
      </c>
      <c r="E9" s="3"/>
      <c r="F9" s="13" t="s">
        <v>59</v>
      </c>
      <c r="G9" s="14">
        <v>2</v>
      </c>
      <c r="H9" s="15">
        <v>1</v>
      </c>
      <c r="I9" s="14"/>
      <c r="J9" s="14"/>
      <c r="K9" s="14"/>
      <c r="L9" s="14"/>
      <c r="M9" s="3"/>
      <c r="N9" s="27"/>
      <c r="O9" s="56"/>
      <c r="P9" s="37"/>
      <c r="Q9" s="38" t="s">
        <v>81</v>
      </c>
      <c r="R9" s="39" t="s">
        <v>5</v>
      </c>
      <c r="S9" s="39"/>
      <c r="T9" s="39"/>
      <c r="U9" s="40"/>
      <c r="V9" s="14"/>
      <c r="W9" s="3"/>
      <c r="X9" s="38" t="s">
        <v>81</v>
      </c>
      <c r="Y9" s="39" t="s">
        <v>5</v>
      </c>
      <c r="Z9" s="41"/>
      <c r="AA9" s="41"/>
      <c r="AB9" s="42"/>
      <c r="AC9" s="27"/>
    </row>
    <row r="10" spans="1:29" x14ac:dyDescent="0.25">
      <c r="A10" s="1">
        <f t="shared" ca="1" si="0"/>
        <v>0.81489797164211508</v>
      </c>
      <c r="B10" s="1"/>
      <c r="C10" s="30">
        <v>4</v>
      </c>
      <c r="D10" s="31" t="str">
        <f>INDEX(Profile!$A$2:$B$24,MATCH(Select!C10,Profile!$A$2:$A$24,0),2)</f>
        <v>KP</v>
      </c>
      <c r="E10" s="3"/>
      <c r="F10" s="46" t="s">
        <v>59</v>
      </c>
      <c r="G10" s="64"/>
      <c r="H10" s="65">
        <v>1</v>
      </c>
      <c r="I10" s="14"/>
      <c r="J10" s="14"/>
      <c r="K10" s="14"/>
      <c r="L10" s="14"/>
      <c r="M10" s="3"/>
      <c r="N10" s="27"/>
      <c r="O10" s="56"/>
      <c r="P10" s="37"/>
      <c r="Q10" s="51">
        <v>1</v>
      </c>
      <c r="R10" s="52" t="str">
        <f>Rearrange!B22</f>
        <v>Nikunj</v>
      </c>
      <c r="S10" s="44" t="str">
        <f>IFERROR(IF(INDEX(Profile!$A$2:$K$24,MATCH(R10,Profile!$B$2:$B$24,0),3)&lt;=2,"Bat",""),"")</f>
        <v>Bat</v>
      </c>
      <c r="T10" s="44" t="str">
        <f>IFERROR(IF(INDEX(Profile!$A$2:$K$24,MATCH(R10,Profile!$B$2:$B$24,0),4)&lt;=2,"Bowl",""),"")</f>
        <v>Bowl</v>
      </c>
      <c r="U10" s="53" t="str">
        <f>IFERROR(IF(INDEX(Profile!$A$2:$K$24,MATCH(R10,Profile!$B$2:$B$24,0),5)&lt;=2,"WK",""),"")</f>
        <v/>
      </c>
      <c r="V10" s="14"/>
      <c r="W10" s="3"/>
      <c r="X10" s="51">
        <v>1</v>
      </c>
      <c r="Y10" s="52" t="str">
        <f>Rearrange!B23</f>
        <v>Rutvik</v>
      </c>
      <c r="Z10" s="44" t="str">
        <f>IFERROR(IF(INDEX(Profile!$A$2:$K$24,MATCH(Y10,Profile!$B$2:$B$24,0),3)&lt;=2,"Bat",""),"")</f>
        <v>Bat</v>
      </c>
      <c r="AA10" s="44" t="str">
        <f>IFERROR(IF(INDEX(Profile!$A$2:$K$24,MATCH(Y10,Profile!$B$2:$B$24,0),4)&lt;=2,"Bowl",""),"")</f>
        <v>Bowl</v>
      </c>
      <c r="AB10" s="53" t="str">
        <f>IFERROR(IF(INDEX(Profile!$A$2:$K$24,MATCH(Y10,Profile!$B$2:$B$24,0),5)&lt;=2,"WK",""),"")</f>
        <v/>
      </c>
      <c r="AC10" s="27"/>
    </row>
    <row r="11" spans="1:29" x14ac:dyDescent="0.25">
      <c r="A11" s="1">
        <f t="shared" ca="1" si="0"/>
        <v>0.18060590890238237</v>
      </c>
      <c r="B11" s="1"/>
      <c r="C11" s="30">
        <v>5</v>
      </c>
      <c r="D11" s="31" t="str">
        <f>INDEX(Profile!$A$2:$B$24,MATCH(Select!C11,Profile!$A$2:$A$24,0),2)</f>
        <v>Tushar P</v>
      </c>
      <c r="E11" s="3"/>
      <c r="F11" s="13" t="s">
        <v>59</v>
      </c>
      <c r="G11" s="14"/>
      <c r="H11" s="15">
        <v>1</v>
      </c>
      <c r="I11" s="14"/>
      <c r="J11" s="14"/>
      <c r="K11" s="14"/>
      <c r="L11" s="14"/>
      <c r="M11" s="3"/>
      <c r="N11" s="27"/>
      <c r="O11" s="56"/>
      <c r="P11" s="37"/>
      <c r="Q11" s="12">
        <v>2</v>
      </c>
      <c r="R11" s="3" t="s">
        <v>21</v>
      </c>
      <c r="S11" s="14" t="str">
        <f>IFERROR(IF(INDEX(Profile!$A$2:$K$24,MATCH(R11,Profile!$B$2:$B$24,0),3)&lt;=2,"Bat",""),"")</f>
        <v>Bat</v>
      </c>
      <c r="T11" s="14" t="str">
        <f>IFERROR(IF(INDEX(Profile!$A$2:$K$24,MATCH(R11,Profile!$B$2:$B$24,0),4)&lt;=2,"Bowl",""),"")</f>
        <v>Bowl</v>
      </c>
      <c r="U11" s="15" t="str">
        <f>IFERROR(IF(INDEX(Profile!$A$2:$K$24,MATCH(R11,Profile!$B$2:$B$24,0),5)&lt;=2,"WK",""),"")</f>
        <v/>
      </c>
      <c r="V11" s="14"/>
      <c r="W11" s="3"/>
      <c r="X11" s="13">
        <v>2</v>
      </c>
      <c r="Y11" s="3" t="s">
        <v>19</v>
      </c>
      <c r="Z11" s="14" t="str">
        <f>IFERROR(IF(INDEX(Profile!$A$2:$K$24,MATCH(Y11,Profile!$B$2:$B$24,0),3)&lt;=2,"Bat",""),"")</f>
        <v>Bat</v>
      </c>
      <c r="AA11" s="14" t="str">
        <f>IFERROR(IF(INDEX(Profile!$A$2:$K$24,MATCH(Y11,Profile!$B$2:$B$24,0),4)&lt;=2,"Bowl",""),"")</f>
        <v>Bowl</v>
      </c>
      <c r="AB11" s="15" t="str">
        <f>IFERROR(IF(INDEX(Profile!$A$2:$K$24,MATCH(Y11,Profile!$B$2:$B$24,0),5)&lt;=2,"WK",""),"")</f>
        <v/>
      </c>
      <c r="AC11" s="27"/>
    </row>
    <row r="12" spans="1:29" x14ac:dyDescent="0.25">
      <c r="A12" s="1">
        <f t="shared" ca="1" si="0"/>
        <v>0.47103216742080267</v>
      </c>
      <c r="B12" s="1"/>
      <c r="C12" s="30">
        <v>6</v>
      </c>
      <c r="D12" s="31" t="str">
        <f>INDEX(Profile!$A$2:$B$24,MATCH(Select!C12,Profile!$A$2:$A$24,0),2)</f>
        <v>Jenil</v>
      </c>
      <c r="E12" s="3"/>
      <c r="F12" s="46" t="s">
        <v>59</v>
      </c>
      <c r="G12" s="64"/>
      <c r="H12" s="65">
        <v>1</v>
      </c>
      <c r="I12" s="14"/>
      <c r="J12" s="14"/>
      <c r="K12" s="14"/>
      <c r="L12" s="14"/>
      <c r="M12" s="3"/>
      <c r="N12" s="27"/>
      <c r="O12" s="56"/>
      <c r="P12" s="37"/>
      <c r="Q12" s="12">
        <v>3</v>
      </c>
      <c r="R12" s="3" t="s">
        <v>20</v>
      </c>
      <c r="S12" s="14" t="str">
        <f>IFERROR(IF(INDEX(Profile!$A$2:$K$24,MATCH(R12,Profile!$B$2:$B$24,0),3)&lt;=2,"Bat",""),"")</f>
        <v>Bat</v>
      </c>
      <c r="T12" s="14" t="str">
        <f>IFERROR(IF(INDEX(Profile!$A$2:$K$24,MATCH(R12,Profile!$B$2:$B$24,0),4)&lt;=2,"Bowl",""),"")</f>
        <v>Bowl</v>
      </c>
      <c r="U12" s="15" t="str">
        <f>IFERROR(IF(INDEX(Profile!$A$2:$K$24,MATCH(R12,Profile!$B$2:$B$24,0),5)&lt;=2,"WK",""),"")</f>
        <v/>
      </c>
      <c r="V12" s="14"/>
      <c r="W12" s="3"/>
      <c r="X12" s="13">
        <v>3</v>
      </c>
      <c r="Y12" s="3" t="s">
        <v>8</v>
      </c>
      <c r="Z12" s="14" t="str">
        <f>IFERROR(IF(INDEX(Profile!$A$2:$K$24,MATCH(Y12,Profile!$B$2:$B$24,0),3)&lt;=2,"Bat",""),"")</f>
        <v>Bat</v>
      </c>
      <c r="AA12" s="14" t="str">
        <f>IFERROR(IF(INDEX(Profile!$A$2:$K$24,MATCH(Y12,Profile!$B$2:$B$24,0),4)&lt;=2,"Bowl",""),"")</f>
        <v>Bowl</v>
      </c>
      <c r="AB12" s="15" t="str">
        <f>IFERROR(IF(INDEX(Profile!$A$2:$K$24,MATCH(Y12,Profile!$B$2:$B$24,0),5)&lt;=2,"WK",""),"")</f>
        <v/>
      </c>
      <c r="AC12" s="27"/>
    </row>
    <row r="13" spans="1:29" x14ac:dyDescent="0.25">
      <c r="A13" s="1">
        <f t="shared" ca="1" si="0"/>
        <v>0.8646157010953327</v>
      </c>
      <c r="B13" s="1"/>
      <c r="C13" s="30">
        <v>7</v>
      </c>
      <c r="D13" s="31" t="str">
        <f>INDEX(Profile!$A$2:$B$24,MATCH(Select!C13,Profile!$A$2:$A$24,0),2)</f>
        <v>Tushar C</v>
      </c>
      <c r="E13" s="3"/>
      <c r="F13" s="13" t="s">
        <v>59</v>
      </c>
      <c r="G13" s="14"/>
      <c r="H13" s="15">
        <v>1</v>
      </c>
      <c r="I13" s="14"/>
      <c r="J13" s="14"/>
      <c r="K13" s="14"/>
      <c r="L13" s="14"/>
      <c r="M13" s="3"/>
      <c r="N13" s="27"/>
      <c r="O13" s="56"/>
      <c r="P13" s="37"/>
      <c r="Q13" s="13">
        <v>4</v>
      </c>
      <c r="R13" s="3" t="s">
        <v>6</v>
      </c>
      <c r="S13" s="14" t="str">
        <f>IFERROR(IF(INDEX(Profile!$A$2:$K$24,MATCH(R13,Profile!$B$2:$B$24,0),3)&lt;=2,"Bat",""),"")</f>
        <v>Bat</v>
      </c>
      <c r="T13" s="14" t="str">
        <f>IFERROR(IF(INDEX(Profile!$A$2:$K$24,MATCH(R13,Profile!$B$2:$B$24,0),4)&lt;=2,"Bowl",""),"")</f>
        <v>Bowl</v>
      </c>
      <c r="U13" s="15" t="str">
        <f>IFERROR(IF(INDEX(Profile!$A$2:$K$24,MATCH(R13,Profile!$B$2:$B$24,0),5)&lt;=2,"WK",""),"")</f>
        <v/>
      </c>
      <c r="V13" s="72" t="s">
        <v>63</v>
      </c>
      <c r="W13" s="73"/>
      <c r="X13" s="13">
        <v>4</v>
      </c>
      <c r="Y13" s="3" t="s">
        <v>22</v>
      </c>
      <c r="Z13" s="14" t="str">
        <f>IFERROR(IF(INDEX(Profile!$A$2:$K$24,MATCH(Y13,Profile!$B$2:$B$24,0),3)&lt;=2,"Bat",""),"")</f>
        <v>Bat</v>
      </c>
      <c r="AA13" s="14" t="str">
        <f>IFERROR(IF(INDEX(Profile!$A$2:$K$24,MATCH(Y13,Profile!$B$2:$B$24,0),4)&lt;=2,"Bowl",""),"")</f>
        <v>Bowl</v>
      </c>
      <c r="AB13" s="15" t="str">
        <f>IFERROR(IF(INDEX(Profile!$A$2:$K$24,MATCH(Y13,Profile!$B$2:$B$24,0),5)&lt;=2,"WK",""),"")</f>
        <v/>
      </c>
      <c r="AC13" s="27"/>
    </row>
    <row r="14" spans="1:29" x14ac:dyDescent="0.25">
      <c r="A14" s="1">
        <f t="shared" ca="1" si="0"/>
        <v>0.52290743268363937</v>
      </c>
      <c r="B14" s="1"/>
      <c r="C14" s="30">
        <v>8</v>
      </c>
      <c r="D14" s="31" t="str">
        <f>INDEX(Profile!$A$2:$B$24,MATCH(Select!C14,Profile!$A$2:$A$24,0),2)</f>
        <v>Prakash</v>
      </c>
      <c r="E14" s="3"/>
      <c r="F14" s="46" t="s">
        <v>59</v>
      </c>
      <c r="G14" s="64"/>
      <c r="H14" s="65"/>
      <c r="I14" s="14"/>
      <c r="J14" s="14"/>
      <c r="K14" s="14"/>
      <c r="L14" s="14"/>
      <c r="M14" s="3"/>
      <c r="N14" s="27"/>
      <c r="O14" s="56"/>
      <c r="P14" s="37"/>
      <c r="Q14" s="13">
        <v>5</v>
      </c>
      <c r="R14" s="3" t="s">
        <v>15</v>
      </c>
      <c r="S14" s="14" t="str">
        <f>IFERROR(IF(INDEX(Profile!$A$2:$K$24,MATCH(R14,Profile!$B$2:$B$24,0),3)&lt;=2,"Bat",""),"")</f>
        <v/>
      </c>
      <c r="T14" s="14" t="str">
        <f>IFERROR(IF(INDEX(Profile!$A$2:$K$24,MATCH(R14,Profile!$B$2:$B$24,0),4)&lt;=2,"Bowl",""),"")</f>
        <v>Bowl</v>
      </c>
      <c r="U14" s="15" t="str">
        <f>IFERROR(IF(INDEX(Profile!$A$2:$K$24,MATCH(R14,Profile!$B$2:$B$24,0),5)&lt;=2,"WK",""),"")</f>
        <v/>
      </c>
      <c r="V14" s="72"/>
      <c r="W14" s="73"/>
      <c r="X14" s="13">
        <v>5</v>
      </c>
      <c r="Y14" s="3" t="s">
        <v>3</v>
      </c>
      <c r="Z14" s="14" t="str">
        <f>IFERROR(IF(INDEX(Profile!$A$2:$K$24,MATCH(Y14,Profile!$B$2:$B$24,0),3)&lt;=2,"Bat",""),"")</f>
        <v>Bat</v>
      </c>
      <c r="AA14" s="14" t="str">
        <f>IFERROR(IF(INDEX(Profile!$A$2:$K$24,MATCH(Y14,Profile!$B$2:$B$24,0),4)&lt;=2,"Bowl",""),"")</f>
        <v>Bowl</v>
      </c>
      <c r="AB14" s="15" t="str">
        <f>IFERROR(IF(INDEX(Profile!$A$2:$K$24,MATCH(Y14,Profile!$B$2:$B$24,0),5)&lt;=2,"WK",""),"")</f>
        <v>WK</v>
      </c>
      <c r="AC14" s="27"/>
    </row>
    <row r="15" spans="1:29" x14ac:dyDescent="0.25">
      <c r="A15" s="1">
        <f t="shared" ca="1" si="0"/>
        <v>0.5149074398963327</v>
      </c>
      <c r="B15" s="1"/>
      <c r="C15" s="30">
        <v>9</v>
      </c>
      <c r="D15" s="31" t="str">
        <f>INDEX(Profile!$A$2:$B$24,MATCH(Select!C15,Profile!$A$2:$A$24,0),2)</f>
        <v>NG</v>
      </c>
      <c r="E15" s="3"/>
      <c r="F15" s="13" t="s">
        <v>59</v>
      </c>
      <c r="G15" s="14"/>
      <c r="H15" s="15"/>
      <c r="I15" s="14"/>
      <c r="J15" s="50"/>
      <c r="K15" s="18"/>
      <c r="L15" s="19"/>
      <c r="M15" s="3"/>
      <c r="N15" s="27"/>
      <c r="O15" s="56"/>
      <c r="P15" s="37"/>
      <c r="Q15" s="13">
        <v>6</v>
      </c>
      <c r="R15" s="3" t="s">
        <v>13</v>
      </c>
      <c r="S15" s="14" t="str">
        <f>IFERROR(IF(INDEX(Profile!$A$2:$K$24,MATCH(R15,Profile!$B$2:$B$24,0),3)&lt;=2,"Bat",""),"")</f>
        <v>Bat</v>
      </c>
      <c r="T15" s="14" t="str">
        <f>IFERROR(IF(INDEX(Profile!$A$2:$K$24,MATCH(R15,Profile!$B$2:$B$24,0),4)&lt;=2,"Bowl",""),"")</f>
        <v>Bowl</v>
      </c>
      <c r="U15" s="15" t="str">
        <f>IFERROR(IF(INDEX(Profile!$A$2:$K$24,MATCH(R15,Profile!$B$2:$B$24,0),5)&lt;=2,"WK",""),"")</f>
        <v/>
      </c>
      <c r="V15" s="72"/>
      <c r="W15" s="73"/>
      <c r="X15" s="13">
        <v>6</v>
      </c>
      <c r="Y15" s="3" t="s">
        <v>11</v>
      </c>
      <c r="Z15" s="14" t="str">
        <f>IFERROR(IF(INDEX(Profile!$A$2:$K$24,MATCH(Y15,Profile!$B$2:$B$24,0),3)&lt;=2,"Bat",""),"")</f>
        <v/>
      </c>
      <c r="AA15" s="14" t="str">
        <f>IFERROR(IF(INDEX(Profile!$A$2:$K$24,MATCH(Y15,Profile!$B$2:$B$24,0),4)&lt;=2,"Bowl",""),"")</f>
        <v/>
      </c>
      <c r="AB15" s="15" t="str">
        <f>IFERROR(IF(INDEX(Profile!$A$2:$K$24,MATCH(Y15,Profile!$B$2:$B$24,0),5)&lt;=2,"WK",""),"")</f>
        <v/>
      </c>
      <c r="AC15" s="27"/>
    </row>
    <row r="16" spans="1:29" x14ac:dyDescent="0.25">
      <c r="A16" s="1">
        <f t="shared" ca="1" si="0"/>
        <v>0.53169457608731607</v>
      </c>
      <c r="B16" s="1"/>
      <c r="C16" s="30">
        <v>10</v>
      </c>
      <c r="D16" s="31" t="str">
        <f>INDEX(Profile!$A$2:$B$24,MATCH(Select!C16,Profile!$A$2:$A$24,0),2)</f>
        <v>AB</v>
      </c>
      <c r="E16" s="3"/>
      <c r="F16" s="46" t="s">
        <v>59</v>
      </c>
      <c r="G16" s="64"/>
      <c r="H16" s="65"/>
      <c r="I16" s="14"/>
      <c r="J16" s="13"/>
      <c r="K16" s="14"/>
      <c r="L16" s="15"/>
      <c r="M16" s="3"/>
      <c r="N16" s="27"/>
      <c r="O16" s="56"/>
      <c r="P16" s="37"/>
      <c r="Q16" s="13">
        <v>7</v>
      </c>
      <c r="R16" s="3" t="s">
        <v>0</v>
      </c>
      <c r="S16" s="14" t="str">
        <f>IFERROR(IF(INDEX(Profile!$A$2:$K$24,MATCH(R16,Profile!$B$2:$B$24,0),3)&lt;=2,"Bat",""),"")</f>
        <v>Bat</v>
      </c>
      <c r="T16" s="14" t="str">
        <f>IFERROR(IF(INDEX(Profile!$A$2:$K$24,MATCH(R16,Profile!$B$2:$B$24,0),4)&lt;=2,"Bowl",""),"")</f>
        <v>Bowl</v>
      </c>
      <c r="U16" s="15" t="str">
        <f>IFERROR(IF(INDEX(Profile!$A$2:$K$24,MATCH(R16,Profile!$B$2:$B$24,0),5)&lt;=2,"WK",""),"")</f>
        <v/>
      </c>
      <c r="V16" s="14"/>
      <c r="W16" s="3"/>
      <c r="X16" s="13">
        <v>7</v>
      </c>
      <c r="Y16" s="3" t="s">
        <v>12</v>
      </c>
      <c r="Z16" s="14" t="str">
        <f>IFERROR(IF(INDEX(Profile!$A$2:$K$24,MATCH(Y16,Profile!$B$2:$B$24,0),3)&lt;=2,"Bat",""),"")</f>
        <v/>
      </c>
      <c r="AA16" s="14" t="str">
        <f>IFERROR(IF(INDEX(Profile!$A$2:$K$24,MATCH(Y16,Profile!$B$2:$B$24,0),4)&lt;=2,"Bowl",""),"")</f>
        <v/>
      </c>
      <c r="AB16" s="15" t="str">
        <f>IFERROR(IF(INDEX(Profile!$A$2:$K$24,MATCH(Y16,Profile!$B$2:$B$24,0),5)&lt;=2,"WK",""),"")</f>
        <v/>
      </c>
      <c r="AC16" s="27"/>
    </row>
    <row r="17" spans="1:29" x14ac:dyDescent="0.25">
      <c r="A17" s="1">
        <f t="shared" ca="1" si="0"/>
        <v>0.19929118698844595</v>
      </c>
      <c r="B17" s="1"/>
      <c r="C17" s="30">
        <v>11</v>
      </c>
      <c r="D17" s="31" t="str">
        <f>INDEX(Profile!$A$2:$B$24,MATCH(Select!C17,Profile!$A$2:$A$24,0),2)</f>
        <v>Ninad</v>
      </c>
      <c r="E17" s="3"/>
      <c r="F17" s="13" t="s">
        <v>59</v>
      </c>
      <c r="G17" s="14"/>
      <c r="H17" s="15"/>
      <c r="I17" s="14"/>
      <c r="J17" s="13"/>
      <c r="K17" s="14"/>
      <c r="L17" s="15"/>
      <c r="M17" s="3"/>
      <c r="N17" s="27"/>
      <c r="O17" s="56"/>
      <c r="P17" s="37"/>
      <c r="Q17" s="13">
        <v>8</v>
      </c>
      <c r="R17" s="3" t="s">
        <v>9</v>
      </c>
      <c r="S17" s="14" t="str">
        <f>IFERROR(IF(INDEX(Profile!$A$2:$K$24,MATCH(R17,Profile!$B$2:$B$24,0),3)&lt;=2,"Bat",""),"")</f>
        <v>Bat</v>
      </c>
      <c r="T17" s="14" t="str">
        <f>IFERROR(IF(INDEX(Profile!$A$2:$K$24,MATCH(R17,Profile!$B$2:$B$24,0),4)&lt;=2,"Bowl",""),"")</f>
        <v/>
      </c>
      <c r="U17" s="15" t="str">
        <f>IFERROR(IF(INDEX(Profile!$A$2:$K$24,MATCH(R17,Profile!$B$2:$B$24,0),5)&lt;=2,"WK",""),"")</f>
        <v>WK</v>
      </c>
      <c r="V17" s="14"/>
      <c r="W17" s="3"/>
      <c r="X17" s="13">
        <v>8</v>
      </c>
      <c r="Y17" s="3" t="s">
        <v>10</v>
      </c>
      <c r="Z17" s="14" t="str">
        <f>IFERROR(IF(INDEX(Profile!$A$2:$K$24,MATCH(Y17,Profile!$B$2:$B$24,0),3)&lt;=2,"Bat",""),"")</f>
        <v>Bat</v>
      </c>
      <c r="AA17" s="14" t="str">
        <f>IFERROR(IF(INDEX(Profile!$A$2:$K$24,MATCH(Y17,Profile!$B$2:$B$24,0),4)&lt;=2,"Bowl",""),"")</f>
        <v>Bowl</v>
      </c>
      <c r="AB17" s="15" t="str">
        <f>IFERROR(IF(INDEX(Profile!$A$2:$K$24,MATCH(Y17,Profile!$B$2:$B$24,0),5)&lt;=2,"WK",""),"")</f>
        <v>WK</v>
      </c>
      <c r="AC17" s="27"/>
    </row>
    <row r="18" spans="1:29" x14ac:dyDescent="0.25">
      <c r="A18" s="1">
        <f t="shared" ca="1" si="0"/>
        <v>0.5681608969620181</v>
      </c>
      <c r="B18" s="1"/>
      <c r="C18" s="30">
        <v>12</v>
      </c>
      <c r="D18" s="31" t="str">
        <f>INDEX(Profile!$A$2:$B$24,MATCH(Select!C18,Profile!$A$2:$A$24,0),2)</f>
        <v>Madhu</v>
      </c>
      <c r="E18" s="3"/>
      <c r="F18" s="46" t="s">
        <v>59</v>
      </c>
      <c r="G18" s="64"/>
      <c r="H18" s="65">
        <v>1</v>
      </c>
      <c r="I18" s="55"/>
      <c r="J18" s="13"/>
      <c r="K18" s="14"/>
      <c r="L18" s="15"/>
      <c r="M18" s="3"/>
      <c r="N18" s="27"/>
      <c r="O18" s="56"/>
      <c r="P18" s="37"/>
      <c r="Q18" s="13">
        <v>9</v>
      </c>
      <c r="R18" s="3" t="s">
        <v>14</v>
      </c>
      <c r="S18" s="14" t="str">
        <f>IFERROR(IF(INDEX(Profile!$A$2:$K$24,MATCH(R18,Profile!$B$2:$B$24,0),3)&lt;=2,"Bat",""),"")</f>
        <v/>
      </c>
      <c r="T18" s="14" t="str">
        <f>IFERROR(IF(INDEX(Profile!$A$2:$K$24,MATCH(R18,Profile!$B$2:$B$24,0),4)&lt;=2,"Bowl",""),"")</f>
        <v/>
      </c>
      <c r="U18" s="15" t="str">
        <f>IFERROR(IF(INDEX(Profile!$A$2:$K$24,MATCH(R18,Profile!$B$2:$B$24,0),5)&lt;=2,"WK",""),"")</f>
        <v/>
      </c>
      <c r="V18" s="14"/>
      <c r="W18" s="3"/>
      <c r="X18" s="13">
        <v>9</v>
      </c>
      <c r="Y18" s="3" t="s">
        <v>16</v>
      </c>
      <c r="Z18" s="14" t="str">
        <f>IFERROR(IF(INDEX(Profile!$A$2:$K$24,MATCH(Y18,Profile!$B$2:$B$24,0),3)&lt;=2,"Bat",""),"")</f>
        <v>Bat</v>
      </c>
      <c r="AA18" s="14" t="str">
        <f>IFERROR(IF(INDEX(Profile!$A$2:$K$24,MATCH(Y18,Profile!$B$2:$B$24,0),4)&lt;=2,"Bowl",""),"")</f>
        <v>Bowl</v>
      </c>
      <c r="AB18" s="15" t="str">
        <f>IFERROR(IF(INDEX(Profile!$A$2:$K$24,MATCH(Y18,Profile!$B$2:$B$24,0),5)&lt;=2,"WK",""),"")</f>
        <v/>
      </c>
      <c r="AC18" s="27"/>
    </row>
    <row r="19" spans="1:29" x14ac:dyDescent="0.25">
      <c r="A19" s="1">
        <f t="shared" ca="1" si="0"/>
        <v>0.27432197909500788</v>
      </c>
      <c r="B19" s="1"/>
      <c r="C19" s="30">
        <v>13</v>
      </c>
      <c r="D19" s="31" t="str">
        <f>INDEX(Profile!$A$2:$B$24,MATCH(Select!C19,Profile!$A$2:$A$24,0),2)</f>
        <v>Ravi Arya</v>
      </c>
      <c r="E19" s="3"/>
      <c r="F19" s="13" t="s">
        <v>59</v>
      </c>
      <c r="G19" s="14"/>
      <c r="H19" s="15"/>
      <c r="I19" s="14"/>
      <c r="J19" s="28"/>
      <c r="K19" s="21"/>
      <c r="L19" s="29"/>
      <c r="M19" s="3"/>
      <c r="N19" s="27"/>
      <c r="O19" s="56"/>
      <c r="P19" s="37"/>
      <c r="Q19" s="13">
        <v>10</v>
      </c>
      <c r="R19" s="3" t="s">
        <v>17</v>
      </c>
      <c r="S19" s="14" t="str">
        <f>IFERROR(IF(INDEX(Profile!$A$2:$K$24,MATCH(R19,Profile!$B$2:$B$24,0),3)&lt;=2,"Bat",""),"")</f>
        <v>Bat</v>
      </c>
      <c r="T19" s="14" t="str">
        <f>IFERROR(IF(INDEX(Profile!$A$2:$K$24,MATCH(R19,Profile!$B$2:$B$24,0),4)&lt;=2,"Bowl",""),"")</f>
        <v>Bowl</v>
      </c>
      <c r="U19" s="15" t="str">
        <f>IFERROR(IF(INDEX(Profile!$A$2:$K$24,MATCH(R19,Profile!$B$2:$B$24,0),5)&lt;=2,"WK",""),"")</f>
        <v/>
      </c>
      <c r="V19" s="14"/>
      <c r="W19" s="3"/>
      <c r="X19" s="13">
        <v>10</v>
      </c>
      <c r="Y19" s="3" t="s">
        <v>7</v>
      </c>
      <c r="Z19" s="14" t="str">
        <f>IFERROR(IF(INDEX(Profile!$A$2:$K$24,MATCH(Y19,Profile!$B$2:$B$24,0),3)&lt;=2,"Bat",""),"")</f>
        <v/>
      </c>
      <c r="AA19" s="14" t="str">
        <f>IFERROR(IF(INDEX(Profile!$A$2:$K$24,MATCH(Y19,Profile!$B$2:$B$24,0),4)&lt;=2,"Bowl",""),"")</f>
        <v/>
      </c>
      <c r="AB19" s="15" t="str">
        <f>IFERROR(IF(INDEX(Profile!$A$2:$K$24,MATCH(Y19,Profile!$B$2:$B$24,0),5)&lt;=2,"WK",""),"")</f>
        <v/>
      </c>
      <c r="AC19" s="27"/>
    </row>
    <row r="20" spans="1:29" x14ac:dyDescent="0.25">
      <c r="A20" s="1">
        <f t="shared" ca="1" si="0"/>
        <v>0.57678378466735214</v>
      </c>
      <c r="B20" s="1"/>
      <c r="C20" s="30">
        <v>14</v>
      </c>
      <c r="D20" s="31" t="str">
        <f>INDEX(Profile!$A$2:$B$24,MATCH(Select!C20,Profile!$A$2:$A$24,0),2)</f>
        <v>Ashwin A</v>
      </c>
      <c r="E20" s="3"/>
      <c r="F20" s="46" t="s">
        <v>59</v>
      </c>
      <c r="G20" s="64"/>
      <c r="H20" s="65"/>
      <c r="I20" s="14"/>
      <c r="J20" s="14"/>
      <c r="K20" s="14"/>
      <c r="L20" s="14"/>
      <c r="M20" s="3"/>
      <c r="N20" s="27"/>
      <c r="O20" s="56"/>
      <c r="P20" s="37"/>
      <c r="Q20" s="13"/>
      <c r="R20" s="3"/>
      <c r="S20" s="14" t="str">
        <f>IFERROR(IF(INDEX(Profile!$A$2:$K$24,MATCH(R20,Profile!$B$2:$B$24,0),3)&lt;=2,"Bat",""),"")</f>
        <v/>
      </c>
      <c r="T20" s="14" t="str">
        <f>IFERROR(IF(INDEX(Profile!$A$2:$K$24,MATCH(R20,Profile!$B$2:$B$24,0),4)&lt;=2,"Bowl",""),"")</f>
        <v/>
      </c>
      <c r="U20" s="15" t="str">
        <f>IFERROR(IF(INDEX(Profile!$A$2:$K$24,MATCH(R20,Profile!$B$2:$B$24,0),5)&lt;=2,"WK",""),"")</f>
        <v/>
      </c>
      <c r="V20" s="3"/>
      <c r="W20" s="3"/>
      <c r="X20" s="13"/>
      <c r="Y20" s="3"/>
      <c r="Z20" s="14" t="str">
        <f>IFERROR(IF(INDEX(Profile!$A$2:$K$24,MATCH(Y20,Profile!$B$2:$B$24,0),3)&lt;=2,"Bat",""),"")</f>
        <v/>
      </c>
      <c r="AA20" s="14" t="str">
        <f>IFERROR(IF(INDEX(Profile!$A$2:$K$24,MATCH(Y20,Profile!$B$2:$B$24,0),4)&lt;=2,"Bowl",""),"")</f>
        <v/>
      </c>
      <c r="AB20" s="15" t="str">
        <f>IFERROR(IF(INDEX(Profile!$A$2:$K$24,MATCH(Y20,Profile!$B$2:$B$24,0),5)&lt;=2,"WK",""),"")</f>
        <v/>
      </c>
      <c r="AC20" s="27"/>
    </row>
    <row r="21" spans="1:29" x14ac:dyDescent="0.25">
      <c r="A21" s="1">
        <f t="shared" ca="1" si="0"/>
        <v>0.20946398964252733</v>
      </c>
      <c r="B21" s="1"/>
      <c r="C21" s="30">
        <v>15</v>
      </c>
      <c r="D21" s="31" t="str">
        <f>INDEX(Profile!$A$2:$B$24,MATCH(Select!C21,Profile!$A$2:$A$24,0),2)</f>
        <v>Ashwin K</v>
      </c>
      <c r="E21" s="3"/>
      <c r="F21" s="13" t="s">
        <v>59</v>
      </c>
      <c r="G21" s="14"/>
      <c r="H21" s="15"/>
      <c r="I21" s="14"/>
      <c r="J21" s="14"/>
      <c r="K21" s="14"/>
      <c r="L21" s="14"/>
      <c r="M21" s="3"/>
      <c r="N21" s="27"/>
      <c r="O21" s="56"/>
      <c r="P21" s="37"/>
      <c r="Q21" s="22"/>
      <c r="R21" s="4"/>
      <c r="S21" s="4"/>
      <c r="T21" s="4"/>
      <c r="U21" s="5"/>
      <c r="V21" s="14"/>
      <c r="W21" s="3"/>
      <c r="X21" s="22"/>
      <c r="Y21" s="4"/>
      <c r="Z21" s="4"/>
      <c r="AA21" s="4"/>
      <c r="AB21" s="5"/>
      <c r="AC21" s="27"/>
    </row>
    <row r="22" spans="1:29" x14ac:dyDescent="0.25">
      <c r="A22" s="1">
        <f t="shared" ca="1" si="0"/>
        <v>0.64337962246813574</v>
      </c>
      <c r="B22" s="1"/>
      <c r="C22" s="30">
        <v>16</v>
      </c>
      <c r="D22" s="31" t="str">
        <f>INDEX(Profile!$A$2:$B$24,MATCH(Select!C22,Profile!$A$2:$A$24,0),2)</f>
        <v>Rohan</v>
      </c>
      <c r="E22" s="3"/>
      <c r="F22" s="46" t="s">
        <v>59</v>
      </c>
      <c r="G22" s="64"/>
      <c r="H22" s="65"/>
      <c r="I22" s="14"/>
      <c r="J22" s="14"/>
      <c r="K22" s="14"/>
      <c r="L22" s="14"/>
      <c r="M22" s="3"/>
      <c r="N22" s="27"/>
      <c r="O22" s="56"/>
      <c r="P22" s="37"/>
      <c r="Q22" s="57" t="s">
        <v>74</v>
      </c>
      <c r="R22" s="43"/>
      <c r="S22" s="43"/>
      <c r="T22" s="61">
        <f>ROUND((Rearrange!N3/MAX(Rearrange!N3:O3))*10,1)</f>
        <v>9.9</v>
      </c>
      <c r="U22" s="45"/>
      <c r="V22" s="14"/>
      <c r="W22" s="3"/>
      <c r="X22" s="59" t="s">
        <v>74</v>
      </c>
      <c r="Y22" s="48"/>
      <c r="Z22" s="48"/>
      <c r="AA22" s="61">
        <f>ROUND((Rearrange!O4/MAX(Rearrange!N4:O4))*10,1)</f>
        <v>9.6</v>
      </c>
      <c r="AB22" s="45"/>
      <c r="AC22" s="27"/>
    </row>
    <row r="23" spans="1:29" x14ac:dyDescent="0.25">
      <c r="A23" s="1">
        <f t="shared" ca="1" si="0"/>
        <v>0.37488812960141438</v>
      </c>
      <c r="B23" s="1"/>
      <c r="C23" s="30">
        <v>17</v>
      </c>
      <c r="D23" s="31" t="str">
        <f>INDEX(Profile!$A$2:$B$24,MATCH(Select!C23,Profile!$A$2:$A$24,0),2)</f>
        <v>Sriram</v>
      </c>
      <c r="E23" s="3"/>
      <c r="F23" s="13" t="s">
        <v>76</v>
      </c>
      <c r="G23" s="14"/>
      <c r="H23" s="15"/>
      <c r="I23" s="14"/>
      <c r="J23" s="14"/>
      <c r="K23" s="14"/>
      <c r="L23" s="14"/>
      <c r="M23" s="3"/>
      <c r="N23" s="27"/>
      <c r="O23" s="56"/>
      <c r="P23" s="37"/>
      <c r="Q23" s="58" t="s">
        <v>75</v>
      </c>
      <c r="R23" s="4"/>
      <c r="S23" s="4"/>
      <c r="T23" s="62">
        <f>ROUND(Rearrange!N5/MAX(Rearrange!N5:O5)*10,1)</f>
        <v>10</v>
      </c>
      <c r="U23" s="5"/>
      <c r="V23" s="3"/>
      <c r="W23" s="3"/>
      <c r="X23" s="60" t="s">
        <v>75</v>
      </c>
      <c r="Y23" s="4"/>
      <c r="Z23" s="4"/>
      <c r="AA23" s="62">
        <f>ROUND(Rearrange!O5/MAX(Rearrange!N5:O5)*10,1)</f>
        <v>10</v>
      </c>
      <c r="AB23" s="5"/>
      <c r="AC23" s="27"/>
    </row>
    <row r="24" spans="1:29" x14ac:dyDescent="0.25">
      <c r="A24" s="1">
        <f t="shared" ca="1" si="0"/>
        <v>0.15194542620706264</v>
      </c>
      <c r="B24" s="1"/>
      <c r="C24" s="30">
        <v>18</v>
      </c>
      <c r="D24" s="31" t="str">
        <f>INDEX(Profile!$A$2:$B$24,MATCH(Select!C24,Profile!$A$2:$A$24,0),2)</f>
        <v>Animesh</v>
      </c>
      <c r="E24" s="3"/>
      <c r="F24" s="46" t="s">
        <v>59</v>
      </c>
      <c r="G24" s="64"/>
      <c r="H24" s="65"/>
      <c r="I24" s="14"/>
      <c r="J24" s="14"/>
      <c r="K24" s="14"/>
      <c r="L24" s="14"/>
      <c r="M24" s="3"/>
      <c r="N24" s="27"/>
      <c r="O24" s="56"/>
      <c r="P24" s="37"/>
      <c r="Q24" s="3"/>
      <c r="R24" s="3"/>
      <c r="S24" s="3"/>
      <c r="T24" s="3"/>
      <c r="U24" s="3"/>
      <c r="V24" s="3"/>
      <c r="W24" s="3"/>
      <c r="X24" s="3"/>
      <c r="Y24" s="3"/>
      <c r="Z24" s="3"/>
      <c r="AA24" s="3"/>
      <c r="AB24" s="3"/>
      <c r="AC24" s="27"/>
    </row>
    <row r="25" spans="1:29" x14ac:dyDescent="0.25">
      <c r="A25" s="1">
        <f t="shared" ca="1" si="0"/>
        <v>0.22820715124782542</v>
      </c>
      <c r="B25" s="1"/>
      <c r="C25" s="30">
        <v>19</v>
      </c>
      <c r="D25" s="31" t="str">
        <f>INDEX(Profile!$A$2:$B$24,MATCH(Select!C25,Profile!$A$2:$A$24,0),2)</f>
        <v>Hadi</v>
      </c>
      <c r="E25" s="3"/>
      <c r="F25" s="13" t="s">
        <v>59</v>
      </c>
      <c r="G25" s="14"/>
      <c r="H25" s="15"/>
      <c r="I25" s="14"/>
      <c r="J25" s="14"/>
      <c r="K25" s="14"/>
      <c r="L25" s="14"/>
      <c r="M25" s="3"/>
      <c r="N25" s="27"/>
      <c r="O25" s="56"/>
      <c r="P25" s="37"/>
      <c r="Q25" s="3"/>
      <c r="R25" s="3"/>
      <c r="S25" s="3"/>
      <c r="T25" s="3"/>
      <c r="U25" s="3"/>
      <c r="V25" s="3"/>
      <c r="W25" s="3"/>
      <c r="X25" s="3"/>
      <c r="Y25" s="3"/>
      <c r="Z25" s="3"/>
      <c r="AA25" s="3"/>
      <c r="AB25" s="3"/>
      <c r="AC25" s="27"/>
    </row>
    <row r="26" spans="1:29" x14ac:dyDescent="0.25">
      <c r="A26" s="1">
        <f t="shared" ca="1" si="0"/>
        <v>0.54291680473336978</v>
      </c>
      <c r="B26" s="1"/>
      <c r="C26" s="30">
        <v>20</v>
      </c>
      <c r="D26" s="31" t="str">
        <f>INDEX(Profile!$A$2:$B$24,MATCH(Select!C26,Profile!$A$2:$A$24,0),2)</f>
        <v>Priyatansh</v>
      </c>
      <c r="E26" s="3"/>
      <c r="F26" s="46" t="s">
        <v>59</v>
      </c>
      <c r="G26" s="64"/>
      <c r="H26" s="65"/>
      <c r="I26" s="14"/>
      <c r="J26" s="14"/>
      <c r="K26" s="14"/>
      <c r="L26" s="14"/>
      <c r="M26" s="3"/>
      <c r="N26" s="27"/>
      <c r="O26" s="56"/>
      <c r="P26" s="37"/>
      <c r="Q26" s="3"/>
      <c r="R26" s="3"/>
      <c r="S26" s="3"/>
      <c r="T26" s="3"/>
      <c r="U26" s="3"/>
      <c r="V26" s="3"/>
      <c r="W26" s="3"/>
      <c r="X26" s="3"/>
      <c r="Y26" s="3"/>
      <c r="Z26" s="3"/>
      <c r="AA26" s="3"/>
      <c r="AB26" s="3"/>
      <c r="AC26" s="27"/>
    </row>
    <row r="27" spans="1:29" x14ac:dyDescent="0.25">
      <c r="A27" s="1">
        <f t="shared" ca="1" si="0"/>
        <v>0.76116285487856328</v>
      </c>
      <c r="B27" s="1"/>
      <c r="C27" s="30">
        <v>21</v>
      </c>
      <c r="D27" s="31" t="str">
        <f>INDEX(Profile!$A$2:$B$24,MATCH(Select!C27,Profile!$A$2:$A$24,0),2)</f>
        <v>Sudheer</v>
      </c>
      <c r="E27" s="3"/>
      <c r="F27" s="13" t="s">
        <v>59</v>
      </c>
      <c r="G27" s="14"/>
      <c r="H27" s="15"/>
      <c r="I27" s="14"/>
      <c r="J27" s="14"/>
      <c r="K27" s="14"/>
      <c r="L27" s="3"/>
      <c r="M27" s="3"/>
      <c r="N27" s="27"/>
      <c r="O27" s="56"/>
      <c r="P27" s="37"/>
      <c r="Q27" s="3"/>
      <c r="R27" s="3"/>
      <c r="S27" s="3"/>
      <c r="T27" s="3"/>
      <c r="U27" s="3"/>
      <c r="V27" s="3"/>
      <c r="W27" s="3"/>
      <c r="X27" s="3"/>
      <c r="Y27" s="3"/>
      <c r="Z27" s="3"/>
      <c r="AA27" s="3"/>
      <c r="AB27" s="3"/>
      <c r="AC27" s="27"/>
    </row>
    <row r="28" spans="1:29" x14ac:dyDescent="0.25">
      <c r="A28" s="1">
        <f t="shared" ca="1" si="0"/>
        <v>0.91617073456590215</v>
      </c>
      <c r="B28" s="1"/>
      <c r="C28" s="32">
        <v>22</v>
      </c>
      <c r="D28" s="33" t="str">
        <f>INDEX(Profile!$A$2:$B$24,MATCH(Select!C28,Profile!$A$2:$A$24,0),2)</f>
        <v>Sanjeeth</v>
      </c>
      <c r="E28" s="4"/>
      <c r="F28" s="47" t="s">
        <v>76</v>
      </c>
      <c r="G28" s="66"/>
      <c r="H28" s="67"/>
      <c r="I28" s="14"/>
      <c r="J28" s="14"/>
      <c r="K28" s="14"/>
      <c r="L28" s="3"/>
      <c r="M28" s="3"/>
      <c r="N28" s="27"/>
      <c r="O28" s="56"/>
      <c r="P28" s="37"/>
      <c r="Q28" s="3"/>
      <c r="R28" s="3"/>
      <c r="S28" s="3"/>
      <c r="T28" s="3"/>
      <c r="U28" s="3"/>
      <c r="V28" s="3"/>
      <c r="W28" s="3"/>
      <c r="X28" s="3"/>
      <c r="Y28" s="3"/>
      <c r="Z28" s="3"/>
      <c r="AA28" s="3"/>
      <c r="AB28" s="3"/>
      <c r="AC28" s="27"/>
    </row>
    <row r="29" spans="1:29" x14ac:dyDescent="0.25">
      <c r="C29" s="37"/>
      <c r="D29" s="3"/>
      <c r="E29" s="3"/>
      <c r="F29" s="3"/>
      <c r="G29" s="14"/>
      <c r="H29" s="14"/>
      <c r="I29" s="14"/>
      <c r="J29" s="14"/>
      <c r="K29" s="14"/>
      <c r="L29" s="3"/>
      <c r="M29" s="3"/>
      <c r="N29" s="27"/>
      <c r="O29" s="56"/>
      <c r="P29" s="37"/>
      <c r="Q29" s="3"/>
      <c r="R29" s="3"/>
      <c r="S29" s="3"/>
      <c r="T29" s="3"/>
      <c r="U29" s="3"/>
      <c r="V29" s="3"/>
      <c r="W29" s="3"/>
      <c r="X29" s="3"/>
      <c r="Y29" s="3"/>
      <c r="Z29" s="3"/>
      <c r="AA29" s="3"/>
      <c r="AB29" s="3"/>
      <c r="AC29" s="27"/>
    </row>
    <row r="30" spans="1:29" x14ac:dyDescent="0.25">
      <c r="C30" s="37"/>
      <c r="D30" s="3"/>
      <c r="E30" s="3"/>
      <c r="F30" s="69" t="s">
        <v>82</v>
      </c>
      <c r="G30" s="49"/>
      <c r="H30" s="70" t="s">
        <v>59</v>
      </c>
      <c r="I30" s="14"/>
      <c r="J30" s="14"/>
      <c r="K30" s="14"/>
      <c r="L30" s="3"/>
      <c r="M30" s="3"/>
      <c r="N30" s="27"/>
      <c r="O30" s="56"/>
      <c r="P30" s="37"/>
      <c r="Q30" s="3"/>
      <c r="R30" s="3"/>
      <c r="S30" s="3"/>
      <c r="T30" s="3"/>
      <c r="U30" s="3"/>
      <c r="V30" s="3"/>
      <c r="W30" s="3"/>
      <c r="X30" s="3"/>
      <c r="Y30" s="3"/>
      <c r="Z30" s="3"/>
      <c r="AA30" s="3"/>
      <c r="AB30" s="3"/>
      <c r="AC30" s="27"/>
    </row>
    <row r="31" spans="1:29" x14ac:dyDescent="0.25">
      <c r="C31" s="37"/>
      <c r="D31" s="3"/>
      <c r="E31" s="3"/>
      <c r="F31" s="3"/>
      <c r="G31" s="14"/>
      <c r="H31" s="14"/>
      <c r="I31" s="14"/>
      <c r="J31" s="14"/>
      <c r="K31" s="14"/>
      <c r="L31" s="3"/>
      <c r="M31" s="3"/>
      <c r="N31" s="27"/>
      <c r="O31" s="56"/>
      <c r="P31" s="37"/>
      <c r="Q31" s="3"/>
      <c r="R31" s="3"/>
      <c r="S31" s="3"/>
      <c r="T31" s="3"/>
      <c r="U31" s="3"/>
      <c r="V31" s="3"/>
      <c r="W31" s="3"/>
      <c r="X31" s="3"/>
      <c r="Y31" s="3"/>
      <c r="Z31" s="3"/>
      <c r="AA31" s="3"/>
      <c r="AB31" s="3"/>
      <c r="AC31" s="27"/>
    </row>
    <row r="32" spans="1:29" x14ac:dyDescent="0.25">
      <c r="C32" s="37"/>
      <c r="D32" s="3"/>
      <c r="E32" s="3"/>
      <c r="F32" s="3"/>
      <c r="G32" s="14"/>
      <c r="H32" s="14"/>
      <c r="I32" s="14"/>
      <c r="J32" s="14"/>
      <c r="K32" s="14"/>
      <c r="L32" s="3"/>
      <c r="M32" s="3"/>
      <c r="N32" s="27"/>
      <c r="O32" s="56"/>
      <c r="P32" s="37"/>
      <c r="Q32" s="3"/>
      <c r="R32" s="3"/>
      <c r="S32" s="3"/>
      <c r="T32" s="3"/>
      <c r="U32" s="3"/>
      <c r="V32" s="3"/>
      <c r="W32" s="3"/>
      <c r="X32" s="3"/>
      <c r="Y32" s="3"/>
      <c r="Z32" s="3"/>
      <c r="AA32" s="3"/>
      <c r="AB32" s="3"/>
      <c r="AC32" s="27"/>
    </row>
    <row r="33" spans="3:29" x14ac:dyDescent="0.25">
      <c r="C33" s="37"/>
      <c r="D33" s="3"/>
      <c r="E33" s="3"/>
      <c r="F33" s="3"/>
      <c r="G33" s="14"/>
      <c r="H33" s="14"/>
      <c r="I33" s="14"/>
      <c r="J33" s="14"/>
      <c r="K33" s="14"/>
      <c r="L33" s="3"/>
      <c r="M33" s="3"/>
      <c r="N33" s="27"/>
      <c r="O33" s="56"/>
      <c r="P33" s="37"/>
      <c r="Q33" s="3"/>
      <c r="R33" s="3"/>
      <c r="S33" s="3"/>
      <c r="T33" s="3"/>
      <c r="U33" s="3"/>
      <c r="V33" s="3"/>
      <c r="W33" s="3"/>
      <c r="X33" s="3"/>
      <c r="Y33" s="3"/>
      <c r="Z33" s="3"/>
      <c r="AA33" s="3"/>
      <c r="AB33" s="3"/>
      <c r="AC33" s="27"/>
    </row>
    <row r="34" spans="3:29" x14ac:dyDescent="0.25">
      <c r="C34" s="22"/>
      <c r="D34" s="4"/>
      <c r="E34" s="4"/>
      <c r="F34" s="4"/>
      <c r="G34" s="21"/>
      <c r="H34" s="21"/>
      <c r="I34" s="21"/>
      <c r="J34" s="21"/>
      <c r="K34" s="21"/>
      <c r="L34" s="4"/>
      <c r="M34" s="4"/>
      <c r="N34" s="5"/>
      <c r="O34" s="54"/>
      <c r="P34" s="22"/>
      <c r="Q34" s="4"/>
      <c r="R34" s="4"/>
      <c r="S34" s="4"/>
      <c r="T34" s="4"/>
      <c r="U34" s="4"/>
      <c r="V34" s="4"/>
      <c r="W34" s="4"/>
      <c r="X34" s="4"/>
      <c r="Y34" s="4"/>
      <c r="Z34" s="4"/>
      <c r="AA34" s="4"/>
      <c r="AB34" s="4"/>
      <c r="AC34" s="5"/>
    </row>
    <row r="35" spans="3:29" x14ac:dyDescent="0.25">
      <c r="L35" s="3"/>
    </row>
    <row r="36" spans="3:29" x14ac:dyDescent="0.25">
      <c r="L36" s="3"/>
    </row>
    <row r="37" spans="3:29" x14ac:dyDescent="0.25">
      <c r="L37" s="3"/>
    </row>
  </sheetData>
  <mergeCells count="5">
    <mergeCell ref="V13:W15"/>
    <mergeCell ref="Q3:AB4"/>
    <mergeCell ref="D3:G4"/>
    <mergeCell ref="Q7:U8"/>
    <mergeCell ref="X7:AB8"/>
  </mergeCells>
  <conditionalFormatting sqref="S10:S20">
    <cfRule type="containsText" dxfId="9" priority="10" operator="containsText" text="Bat">
      <formula>NOT(ISERROR(SEARCH("Bat",S10)))</formula>
    </cfRule>
    <cfRule type="containsText" dxfId="8" priority="11" operator="containsText" text="&quot;Bat&quot;">
      <formula>NOT(ISERROR(SEARCH("""Bat""",S10)))</formula>
    </cfRule>
  </conditionalFormatting>
  <conditionalFormatting sqref="V9:V13 U10:U20 V16:V19">
    <cfRule type="containsText" dxfId="7" priority="9" operator="containsText" text="Bowl">
      <formula>NOT(ISERROR(SEARCH("Bowl",U9)))</formula>
    </cfRule>
  </conditionalFormatting>
  <conditionalFormatting sqref="Z10:Z20">
    <cfRule type="containsText" dxfId="6" priority="7" operator="containsText" text="Bat">
      <formula>NOT(ISERROR(SEARCH("Bat",Z10)))</formula>
    </cfRule>
    <cfRule type="containsText" dxfId="5" priority="8" operator="containsText" text="&quot;Bat&quot;">
      <formula>NOT(ISERROR(SEARCH("""Bat""",Z10)))</formula>
    </cfRule>
  </conditionalFormatting>
  <conditionalFormatting sqref="T10:T20">
    <cfRule type="containsText" dxfId="4" priority="5" operator="containsText" text="Bowl">
      <formula>NOT(ISERROR(SEARCH("Bowl",T10)))</formula>
    </cfRule>
  </conditionalFormatting>
  <conditionalFormatting sqref="U10:U20">
    <cfRule type="containsText" dxfId="3" priority="4" operator="containsText" text="WK">
      <formula>NOT(ISERROR(SEARCH("WK",U10)))</formula>
    </cfRule>
  </conditionalFormatting>
  <conditionalFormatting sqref="AA10:AA20">
    <cfRule type="containsText" dxfId="2" priority="3" operator="containsText" text="Bowl">
      <formula>NOT(ISERROR(SEARCH("Bowl",AA10)))</formula>
    </cfRule>
  </conditionalFormatting>
  <conditionalFormatting sqref="AB10:AB20">
    <cfRule type="containsText" dxfId="1" priority="2" operator="containsText" text="Bowl">
      <formula>NOT(ISERROR(SEARCH("Bowl",AB10)))</formula>
    </cfRule>
  </conditionalFormatting>
  <conditionalFormatting sqref="AB10:AB20">
    <cfRule type="containsText" dxfId="0" priority="1" operator="containsText" text="WK">
      <formula>NOT(ISERROR(SEARCH("WK",AB10)))</formula>
    </cfRule>
  </conditionalFormatting>
  <pageMargins left="0.7" right="0.7" top="0.75" bottom="0.75" header="0.3" footer="0.3"/>
  <drawing r:id="rId1"/>
  <legacyDrawing r:id="rId2"/>
  <controls>
    <mc:AlternateContent xmlns:mc="http://schemas.openxmlformats.org/markup-compatibility/2006">
      <mc:Choice Requires="x14">
        <control shapeId="4097" r:id="rId3" name="CommandButton1">
          <controlPr autoLine="0" r:id="rId4">
            <anchor moveWithCells="1">
              <from>
                <xdr:col>9</xdr:col>
                <xdr:colOff>142875</xdr:colOff>
                <xdr:row>15</xdr:row>
                <xdr:rowOff>95250</xdr:rowOff>
              </from>
              <to>
                <xdr:col>11</xdr:col>
                <xdr:colOff>561975</xdr:colOff>
                <xdr:row>17</xdr:row>
                <xdr:rowOff>85725</xdr:rowOff>
              </to>
            </anchor>
          </controlPr>
        </control>
      </mc:Choice>
      <mc:Fallback>
        <control shapeId="4097" r:id="rId3" name="CommandButton1"/>
      </mc:Fallback>
    </mc:AlternateContent>
  </controls>
  <webPublishItems count="1">
    <webPublishItem id="19947" divId="JCC Splitter_19947" sourceType="sheet" destinationFile="C:\Users\abathla\Desktop\JCC Splitter.htm"/>
  </webPublishItems>
  <extLst>
    <ext xmlns:x14="http://schemas.microsoft.com/office/spreadsheetml/2009/9/main" uri="{CCE6A557-97BC-4b89-ADB6-D9C93CAAB3DF}">
      <x14:dataValidations xmlns:xm="http://schemas.microsoft.com/office/excel/2006/main" count="4">
        <x14:dataValidation type="list" allowBlank="1" showInputMessage="1" showErrorMessage="1">
          <x14:formula1>
            <xm:f>Preferences!A$39:A$40</xm:f>
          </x14:formula1>
          <xm:sqref>F7:F28</xm:sqref>
        </x14:dataValidation>
        <x14:dataValidation type="list" allowBlank="1" showInputMessage="1" showErrorMessage="1">
          <x14:formula1>
            <xm:f>Preferences!A$42:A$44</xm:f>
          </x14:formula1>
          <xm:sqref>G7:G28</xm:sqref>
        </x14:dataValidation>
        <x14:dataValidation type="list" showInputMessage="1" showErrorMessage="1">
          <x14:formula1>
            <xm:f>Preferences!$A$47:$A$48</xm:f>
          </x14:formula1>
          <xm:sqref>H7:H28</xm:sqref>
        </x14:dataValidation>
        <x14:dataValidation type="list" allowBlank="1" showInputMessage="1" showErrorMessage="1">
          <x14:formula1>
            <xm:f>Preferences!$A$39:$A$40</xm:f>
          </x14:formula1>
          <xm:sqref>H30</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S48"/>
  <sheetViews>
    <sheetView zoomScale="85" zoomScaleNormal="85" workbookViewId="0">
      <selection activeCell="H38" sqref="H38"/>
    </sheetView>
  </sheetViews>
  <sheetFormatPr defaultRowHeight="15" x14ac:dyDescent="0.25"/>
  <cols>
    <col min="1" max="1" width="9.140625" style="23"/>
    <col min="2" max="2" width="12.28515625" customWidth="1"/>
    <col min="3" max="3" width="10.85546875" bestFit="1" customWidth="1"/>
    <col min="13" max="13" width="11.42578125" customWidth="1"/>
  </cols>
  <sheetData>
    <row r="1" spans="1:19" x14ac:dyDescent="0.25">
      <c r="A1" s="23" t="s">
        <v>65</v>
      </c>
      <c r="B1" t="s">
        <v>5</v>
      </c>
      <c r="C1" t="s">
        <v>58</v>
      </c>
      <c r="D1" s="1" t="s">
        <v>60</v>
      </c>
      <c r="E1" t="s">
        <v>52</v>
      </c>
      <c r="F1" t="s">
        <v>53</v>
      </c>
      <c r="G1" t="s">
        <v>54</v>
      </c>
      <c r="H1" t="s">
        <v>55</v>
      </c>
      <c r="I1" t="s">
        <v>56</v>
      </c>
      <c r="J1" t="s">
        <v>57</v>
      </c>
      <c r="K1" t="s">
        <v>78</v>
      </c>
      <c r="N1" s="10" t="s">
        <v>61</v>
      </c>
      <c r="O1" s="9" t="s">
        <v>66</v>
      </c>
    </row>
    <row r="2" spans="1:19" x14ac:dyDescent="0.25">
      <c r="A2" s="24">
        <v>1</v>
      </c>
      <c r="B2" s="6" t="str">
        <f>INDEX($A$26:$B$46,MATCH(A2,$A$26:$A$46,0),2)</f>
        <v>Priyatansh</v>
      </c>
      <c r="C2" s="7" t="str">
        <f>INDEX(Select!$C$6:$G$28,MATCH(Rearrange!B2,Select!$D$6:$D$28,0),4)</f>
        <v>Y</v>
      </c>
      <c r="D2" s="7">
        <f>INDEX(Select!$C$6:$G$28,MATCH(Rearrange!B2,Select!$D$6:$D$28,0),5)</f>
        <v>0</v>
      </c>
      <c r="E2" s="7">
        <f>INDEX(Profile!$A$2:$K$24,MATCH(Rearrange!$B2,Profile!$B$2:$B$24,0),6)</f>
        <v>4</v>
      </c>
      <c r="F2" s="7">
        <f>INDEX(Profile!$A$2:$K$24,MATCH(Rearrange!$B2,Profile!$B$2:$B$24,0),7)</f>
        <v>6</v>
      </c>
      <c r="G2" s="7">
        <f>INDEX(Profile!$A$2:$K$24,MATCH(Rearrange!$B2,Profile!$B$2:$B$24,0),8)</f>
        <v>7</v>
      </c>
      <c r="H2" s="7">
        <f>INDEX(Profile!$A$2:$K$24,MATCH(Rearrange!$B2,Profile!$B$2:$B$24,0),9)</f>
        <v>10</v>
      </c>
      <c r="I2" s="7">
        <f>INDEX(Profile!$A$2:$K$24,MATCH(Rearrange!$B2,Profile!$B$2:$B$24,0),10)</f>
        <v>0</v>
      </c>
      <c r="J2" s="7">
        <f>INDEX(Profile!$A$2:$K$24,MATCH(Rearrange!$B2,Profile!$B$2:$B$24,0),11)</f>
        <v>0</v>
      </c>
      <c r="K2" s="7">
        <f>INDEX(Select!$C$6:$H$28,MATCH(Rearrange!B2,Select!$D$6:$D$28,0),6)</f>
        <v>0</v>
      </c>
      <c r="M2" t="s">
        <v>67</v>
      </c>
      <c r="N2" s="10">
        <f>SUMIF($C$2:$C$11,"Y",$E$2:$E$11)+E22</f>
        <v>43</v>
      </c>
      <c r="O2" s="9">
        <f>SUMIF($C$12:$C$21,"Y",$E$12:$E$21)+E23</f>
        <v>43</v>
      </c>
      <c r="P2">
        <f>N2-O2</f>
        <v>0</v>
      </c>
      <c r="Q2">
        <f>P2^2</f>
        <v>0</v>
      </c>
    </row>
    <row r="3" spans="1:19" x14ac:dyDescent="0.25">
      <c r="A3" s="24">
        <v>2</v>
      </c>
      <c r="B3" s="6" t="str">
        <f t="shared" ref="B3:B21" si="0">INDEX($A$26:$B$46,MATCH(A3,$A$26:$A$46,0),2)</f>
        <v>Hadi</v>
      </c>
      <c r="C3" s="7" t="str">
        <f>INDEX(Select!$C$6:$G$28,MATCH(Rearrange!B3,Select!$D$6:$D$28,0),4)</f>
        <v>Y</v>
      </c>
      <c r="D3" s="7">
        <f>INDEX(Select!$C$6:$G$28,MATCH(Rearrange!B3,Select!$D$6:$D$28,0),5)</f>
        <v>0</v>
      </c>
      <c r="E3" s="7">
        <f>INDEX(Profile!$A$2:$K$24,MATCH(Rearrange!$B3,Profile!$B$2:$B$24,0),6)</f>
        <v>7</v>
      </c>
      <c r="F3" s="7">
        <f>INDEX(Profile!$A$2:$K$24,MATCH(Rearrange!$B3,Profile!$B$2:$B$24,0),7)</f>
        <v>10</v>
      </c>
      <c r="G3" s="7">
        <f>INDEX(Profile!$A$2:$K$24,MATCH(Rearrange!$B3,Profile!$B$2:$B$24,0),8)</f>
        <v>7</v>
      </c>
      <c r="H3" s="7">
        <f>INDEX(Profile!$A$2:$K$24,MATCH(Rearrange!$B3,Profile!$B$2:$B$24,0),9)</f>
        <v>10</v>
      </c>
      <c r="I3" s="7">
        <f>INDEX(Profile!$A$2:$K$24,MATCH(Rearrange!$B3,Profile!$B$2:$B$24,0),10)</f>
        <v>1</v>
      </c>
      <c r="J3" s="7">
        <f>INDEX(Profile!$A$2:$K$24,MATCH(Rearrange!$B3,Profile!$B$2:$B$24,0),11)</f>
        <v>3</v>
      </c>
      <c r="K3" s="7">
        <f>INDEX(Select!$C$6:$H$28,MATCH(Rearrange!B3,Select!$D$6:$D$28,0),6)</f>
        <v>0</v>
      </c>
      <c r="M3" t="s">
        <v>68</v>
      </c>
      <c r="N3" s="10">
        <f>SUMIF($C$2:$C$11,"Y",$F$2:$F$11)+F22</f>
        <v>66</v>
      </c>
      <c r="O3" s="9">
        <f>SUMIF($C$12:$C$21,"Y",$F$12:$F$21)+F23</f>
        <v>67</v>
      </c>
      <c r="P3">
        <f>N3-O3</f>
        <v>-1</v>
      </c>
      <c r="Q3">
        <f>P3^2</f>
        <v>1</v>
      </c>
    </row>
    <row r="4" spans="1:19" x14ac:dyDescent="0.25">
      <c r="A4" s="24">
        <v>3</v>
      </c>
      <c r="B4" s="6" t="str">
        <f t="shared" si="0"/>
        <v>Tushar P</v>
      </c>
      <c r="C4" s="7" t="str">
        <f>INDEX(Select!$C$6:$G$28,MATCH(Rearrange!B4,Select!$D$6:$D$28,0),4)</f>
        <v>Y</v>
      </c>
      <c r="D4" s="7">
        <f>INDEX(Select!$C$6:$G$28,MATCH(Rearrange!B4,Select!$D$6:$D$28,0),5)</f>
        <v>0</v>
      </c>
      <c r="E4" s="7">
        <f>INDEX(Profile!$A$2:$K$24,MATCH(Rearrange!$B4,Profile!$B$2:$B$24,0),6)</f>
        <v>4</v>
      </c>
      <c r="F4" s="7">
        <f>INDEX(Profile!$A$2:$K$24,MATCH(Rearrange!$B4,Profile!$B$2:$B$24,0),7)</f>
        <v>6</v>
      </c>
      <c r="G4" s="7">
        <f>INDEX(Profile!$A$2:$K$24,MATCH(Rearrange!$B4,Profile!$B$2:$B$24,0),8)</f>
        <v>4</v>
      </c>
      <c r="H4" s="7">
        <f>INDEX(Profile!$A$2:$K$24,MATCH(Rearrange!$B4,Profile!$B$2:$B$24,0),9)</f>
        <v>6</v>
      </c>
      <c r="I4" s="7">
        <f>INDEX(Profile!$A$2:$K$24,MATCH(Rearrange!$B4,Profile!$B$2:$B$24,0),10)</f>
        <v>0</v>
      </c>
      <c r="J4" s="7">
        <f>INDEX(Profile!$A$2:$K$24,MATCH(Rearrange!$B4,Profile!$B$2:$B$24,0),11)</f>
        <v>0</v>
      </c>
      <c r="K4" s="7">
        <f>INDEX(Select!$C$6:$H$28,MATCH(Rearrange!B4,Select!$D$6:$D$28,0),6)</f>
        <v>1</v>
      </c>
      <c r="M4" t="s">
        <v>69</v>
      </c>
      <c r="N4" s="10">
        <f>SUMIF($C$2:$C$11,"Y",$G$2:$G$11)+G22</f>
        <v>45</v>
      </c>
      <c r="O4" s="9">
        <f>SUMIF($C$12:$C$21,"Y",$G$12:$G$21)+G23</f>
        <v>43</v>
      </c>
      <c r="P4">
        <f>N4-O4</f>
        <v>2</v>
      </c>
      <c r="Q4">
        <f>P4^2</f>
        <v>4</v>
      </c>
    </row>
    <row r="5" spans="1:19" x14ac:dyDescent="0.25">
      <c r="A5" s="24">
        <v>4</v>
      </c>
      <c r="B5" s="6" t="str">
        <f t="shared" si="0"/>
        <v>Ashwin A</v>
      </c>
      <c r="C5" s="7" t="str">
        <f>INDEX(Select!$C$6:$G$28,MATCH(Rearrange!B5,Select!$D$6:$D$28,0),4)</f>
        <v>Y</v>
      </c>
      <c r="D5" s="7">
        <f>INDEX(Select!$C$6:$G$28,MATCH(Rearrange!B5,Select!$D$6:$D$28,0),5)</f>
        <v>0</v>
      </c>
      <c r="E5" s="7">
        <f>INDEX(Profile!$A$2:$K$24,MATCH(Rearrange!$B5,Profile!$B$2:$B$24,0),6)</f>
        <v>1</v>
      </c>
      <c r="F5" s="7">
        <f>INDEX(Profile!$A$2:$K$24,MATCH(Rearrange!$B5,Profile!$B$2:$B$24,0),7)</f>
        <v>3</v>
      </c>
      <c r="G5" s="7">
        <f>INDEX(Profile!$A$2:$K$24,MATCH(Rearrange!$B5,Profile!$B$2:$B$24,0),8)</f>
        <v>4</v>
      </c>
      <c r="H5" s="7">
        <f>INDEX(Profile!$A$2:$K$24,MATCH(Rearrange!$B5,Profile!$B$2:$B$24,0),9)</f>
        <v>6</v>
      </c>
      <c r="I5" s="7">
        <f>INDEX(Profile!$A$2:$K$24,MATCH(Rearrange!$B5,Profile!$B$2:$B$24,0),10)</f>
        <v>1</v>
      </c>
      <c r="J5" s="7">
        <f>INDEX(Profile!$A$2:$K$24,MATCH(Rearrange!$B5,Profile!$B$2:$B$24,0),11)</f>
        <v>3</v>
      </c>
      <c r="K5" s="7">
        <f>INDEX(Select!$C$6:$H$28,MATCH(Rearrange!B5,Select!$D$6:$D$28,0),6)</f>
        <v>0</v>
      </c>
      <c r="M5" t="s">
        <v>70</v>
      </c>
      <c r="N5" s="10">
        <f>SUMIF($C$2:$C$11,"Y",$H$2:$H$11)+H22</f>
        <v>67</v>
      </c>
      <c r="O5" s="9">
        <f>SUMIF($C$12:$C$21,"Y",$H$12:$H$21)+H23</f>
        <v>67</v>
      </c>
      <c r="P5">
        <f>N5-O5</f>
        <v>0</v>
      </c>
      <c r="Q5">
        <f>P5^2</f>
        <v>0</v>
      </c>
    </row>
    <row r="6" spans="1:19" x14ac:dyDescent="0.25">
      <c r="A6" s="24">
        <v>5</v>
      </c>
      <c r="B6" s="6" t="str">
        <f t="shared" si="0"/>
        <v>Madhu</v>
      </c>
      <c r="C6" s="7" t="str">
        <f>INDEX(Select!$C$6:$G$28,MATCH(Rearrange!B6,Select!$D$6:$D$28,0),4)</f>
        <v>Y</v>
      </c>
      <c r="D6" s="7">
        <f>INDEX(Select!$C$6:$G$28,MATCH(Rearrange!B6,Select!$D$6:$D$28,0),5)</f>
        <v>0</v>
      </c>
      <c r="E6" s="7">
        <f>INDEX(Profile!$A$2:$K$24,MATCH(Rearrange!$B6,Profile!$B$2:$B$24,0),6)</f>
        <v>7</v>
      </c>
      <c r="F6" s="7">
        <f>INDEX(Profile!$A$2:$K$24,MATCH(Rearrange!$B6,Profile!$B$2:$B$24,0),7)</f>
        <v>10</v>
      </c>
      <c r="G6" s="7">
        <f>INDEX(Profile!$A$2:$K$24,MATCH(Rearrange!$B6,Profile!$B$2:$B$24,0),8)</f>
        <v>7</v>
      </c>
      <c r="H6" s="7">
        <f>INDEX(Profile!$A$2:$K$24,MATCH(Rearrange!$B6,Profile!$B$2:$B$24,0),9)</f>
        <v>10</v>
      </c>
      <c r="I6" s="7">
        <f>INDEX(Profile!$A$2:$K$24,MATCH(Rearrange!$B6,Profile!$B$2:$B$24,0),10)</f>
        <v>1</v>
      </c>
      <c r="J6" s="7">
        <f>INDEX(Profile!$A$2:$K$24,MATCH(Rearrange!$B6,Profile!$B$2:$B$24,0),11)</f>
        <v>3</v>
      </c>
      <c r="K6" s="7">
        <f>INDEX(Select!$C$6:$H$28,MATCH(Rearrange!B6,Select!$D$6:$D$28,0),6)</f>
        <v>1</v>
      </c>
      <c r="M6" t="s">
        <v>71</v>
      </c>
      <c r="N6" s="10">
        <f>SUMIF($C$2:$C$11,"Y",$I$2:$I$11)+I22</f>
        <v>11</v>
      </c>
      <c r="O6" s="9">
        <f>SUMIF($C$12:$C$21,"Y",$I$12:$I$21)+I23</f>
        <v>12</v>
      </c>
      <c r="P6">
        <f>N6-O6</f>
        <v>-1</v>
      </c>
    </row>
    <row r="7" spans="1:19" x14ac:dyDescent="0.25">
      <c r="A7" s="24">
        <v>6</v>
      </c>
      <c r="B7" s="6" t="str">
        <f t="shared" si="0"/>
        <v>Ram</v>
      </c>
      <c r="C7" s="7" t="str">
        <f>INDEX(Select!$C$6:$G$28,MATCH(Rearrange!B7,Select!$D$6:$D$28,0),4)</f>
        <v>Y</v>
      </c>
      <c r="D7" s="7">
        <f>INDEX(Select!$C$6:$G$28,MATCH(Rearrange!B7,Select!$D$6:$D$28,0),5)</f>
        <v>0</v>
      </c>
      <c r="E7" s="7">
        <f>INDEX(Profile!$A$2:$K$24,MATCH(Rearrange!$B7,Profile!$B$2:$B$24,0),6)</f>
        <v>4</v>
      </c>
      <c r="F7" s="7">
        <f>INDEX(Profile!$A$2:$K$24,MATCH(Rearrange!$B7,Profile!$B$2:$B$24,0),7)</f>
        <v>6</v>
      </c>
      <c r="G7" s="7">
        <f>INDEX(Profile!$A$2:$K$24,MATCH(Rearrange!$B7,Profile!$B$2:$B$24,0),8)</f>
        <v>4</v>
      </c>
      <c r="H7" s="7">
        <f>INDEX(Profile!$A$2:$K$24,MATCH(Rearrange!$B7,Profile!$B$2:$B$24,0),9)</f>
        <v>6</v>
      </c>
      <c r="I7" s="7">
        <f>INDEX(Profile!$A$2:$K$24,MATCH(Rearrange!$B7,Profile!$B$2:$B$24,0),10)</f>
        <v>0</v>
      </c>
      <c r="J7" s="7">
        <f>INDEX(Profile!$A$2:$K$24,MATCH(Rearrange!$B7,Profile!$B$2:$B$24,0),11)</f>
        <v>0</v>
      </c>
      <c r="K7" s="7">
        <f>INDEX(Select!$C$6:$H$28,MATCH(Rearrange!B7,Select!$D$6:$D$28,0),6)</f>
        <v>1</v>
      </c>
      <c r="M7" t="s">
        <v>72</v>
      </c>
      <c r="N7" s="10">
        <f>SUMIF($C$2:$C$11,"Y",$J$2:$J$11)+J23</f>
        <v>25</v>
      </c>
      <c r="O7" s="9">
        <f>SUMIF($C$12:$C$21,"Y",$J$12:$J$21)+J23</f>
        <v>19</v>
      </c>
    </row>
    <row r="8" spans="1:19" x14ac:dyDescent="0.25">
      <c r="A8" s="24">
        <v>7</v>
      </c>
      <c r="B8" s="6" t="str">
        <f t="shared" si="0"/>
        <v>Prakash</v>
      </c>
      <c r="C8" s="7" t="str">
        <f>INDEX(Select!$C$6:$G$28,MATCH(Rearrange!B8,Select!$D$6:$D$28,0),4)</f>
        <v>Y</v>
      </c>
      <c r="D8" s="7">
        <f>INDEX(Select!$C$6:$G$28,MATCH(Rearrange!B8,Select!$D$6:$D$28,0),5)</f>
        <v>0</v>
      </c>
      <c r="E8" s="7">
        <f>INDEX(Profile!$A$2:$K$24,MATCH(Rearrange!$B8,Profile!$B$2:$B$24,0),6)</f>
        <v>7</v>
      </c>
      <c r="F8" s="7">
        <f>INDEX(Profile!$A$2:$K$24,MATCH(Rearrange!$B8,Profile!$B$2:$B$24,0),7)</f>
        <v>10</v>
      </c>
      <c r="G8" s="7">
        <f>INDEX(Profile!$A$2:$K$24,MATCH(Rearrange!$B8,Profile!$B$2:$B$24,0),8)</f>
        <v>0</v>
      </c>
      <c r="H8" s="7">
        <f>INDEX(Profile!$A$2:$K$24,MATCH(Rearrange!$B8,Profile!$B$2:$B$24,0),9)</f>
        <v>0</v>
      </c>
      <c r="I8" s="7">
        <f>INDEX(Profile!$A$2:$K$24,MATCH(Rearrange!$B8,Profile!$B$2:$B$24,0),10)</f>
        <v>7</v>
      </c>
      <c r="J8" s="7">
        <f>INDEX(Profile!$A$2:$K$24,MATCH(Rearrange!$B8,Profile!$B$2:$B$24,0),11)</f>
        <v>10</v>
      </c>
      <c r="K8" s="7">
        <f>INDEX(Select!$C$6:$H$28,MATCH(Rearrange!B8,Select!$D$6:$D$28,0),6)</f>
        <v>0</v>
      </c>
      <c r="M8" t="s">
        <v>77</v>
      </c>
      <c r="N8" s="10">
        <f>COUNTIF($C$2:$C$11,"N")</f>
        <v>1</v>
      </c>
      <c r="O8" s="9">
        <f>COUNTIF($C$12:$C$21,"N")</f>
        <v>1</v>
      </c>
      <c r="P8">
        <f>N8-O8</f>
        <v>0</v>
      </c>
      <c r="Q8" s="11">
        <f>SUM(Q2:Q5)+P8^2+(P9^2)*$S$9</f>
        <v>5</v>
      </c>
      <c r="S8">
        <f>ABS(P8)</f>
        <v>0</v>
      </c>
    </row>
    <row r="9" spans="1:19" x14ac:dyDescent="0.25">
      <c r="A9" s="24">
        <v>8</v>
      </c>
      <c r="B9" s="6" t="str">
        <f t="shared" si="0"/>
        <v>Ravi Arya</v>
      </c>
      <c r="C9" s="7" t="str">
        <f>INDEX(Select!$C$6:$G$28,MATCH(Rearrange!B9,Select!$D$6:$D$28,0),4)</f>
        <v>Y</v>
      </c>
      <c r="D9" s="7">
        <f>INDEX(Select!$C$6:$G$28,MATCH(Rearrange!B9,Select!$D$6:$D$28,0),5)</f>
        <v>0</v>
      </c>
      <c r="E9" s="7">
        <f>INDEX(Profile!$A$2:$K$24,MATCH(Rearrange!$B9,Profile!$B$2:$B$24,0),6)</f>
        <v>1</v>
      </c>
      <c r="F9" s="7">
        <f>INDEX(Profile!$A$2:$K$24,MATCH(Rearrange!$B9,Profile!$B$2:$B$24,0),7)</f>
        <v>3</v>
      </c>
      <c r="G9" s="7">
        <f>INDEX(Profile!$A$2:$K$24,MATCH(Rearrange!$B9,Profile!$B$2:$B$24,0),8)</f>
        <v>1</v>
      </c>
      <c r="H9" s="7">
        <f>INDEX(Profile!$A$2:$K$24,MATCH(Rearrange!$B9,Profile!$B$2:$B$24,0),9)</f>
        <v>3</v>
      </c>
      <c r="I9" s="7">
        <f>INDEX(Profile!$A$2:$K$24,MATCH(Rearrange!$B9,Profile!$B$2:$B$24,0),10)</f>
        <v>0</v>
      </c>
      <c r="J9" s="7">
        <f>INDEX(Profile!$A$2:$K$24,MATCH(Rearrange!$B9,Profile!$B$2:$B$24,0),11)</f>
        <v>0</v>
      </c>
      <c r="K9" s="7">
        <f>INDEX(Select!$C$6:$H$28,MATCH(Rearrange!B9,Select!$D$6:$D$28,0),6)</f>
        <v>0</v>
      </c>
      <c r="M9" t="s">
        <v>78</v>
      </c>
      <c r="N9" s="10">
        <f>SUMIF($C$2:$C$11,"Y",$K$2:$K$11)+K22</f>
        <v>4</v>
      </c>
      <c r="O9" s="9">
        <f>SUMIF($C$12:$C$21,"Y",$K$12:$K$21)+K23</f>
        <v>4</v>
      </c>
      <c r="P9">
        <f>N9-O9</f>
        <v>0</v>
      </c>
      <c r="S9">
        <f>IF(Select!H30="Y",1,0)</f>
        <v>1</v>
      </c>
    </row>
    <row r="10" spans="1:19" x14ac:dyDescent="0.25">
      <c r="A10" s="24">
        <v>9</v>
      </c>
      <c r="B10" s="6" t="str">
        <f t="shared" si="0"/>
        <v>Rohan</v>
      </c>
      <c r="C10" s="7" t="str">
        <f>INDEX(Select!$C$6:$G$28,MATCH(Rearrange!B10,Select!$D$6:$D$28,0),4)</f>
        <v>Y</v>
      </c>
      <c r="D10" s="7">
        <f>INDEX(Select!$C$6:$G$28,MATCH(Rearrange!B10,Select!$D$6:$D$28,0),5)</f>
        <v>0</v>
      </c>
      <c r="E10" s="7">
        <f>INDEX(Profile!$A$2:$K$24,MATCH(Rearrange!$B10,Profile!$B$2:$B$24,0),6)</f>
        <v>4</v>
      </c>
      <c r="F10" s="7">
        <f>INDEX(Profile!$A$2:$K$24,MATCH(Rearrange!$B10,Profile!$B$2:$B$24,0),7)</f>
        <v>6</v>
      </c>
      <c r="G10" s="7">
        <f>INDEX(Profile!$A$2:$K$24,MATCH(Rearrange!$B10,Profile!$B$2:$B$24,0),8)</f>
        <v>4</v>
      </c>
      <c r="H10" s="7">
        <f>INDEX(Profile!$A$2:$K$24,MATCH(Rearrange!$B10,Profile!$B$2:$B$24,0),9)</f>
        <v>6</v>
      </c>
      <c r="I10" s="7">
        <f>INDEX(Profile!$A$2:$K$24,MATCH(Rearrange!$B10,Profile!$B$2:$B$24,0),10)</f>
        <v>1</v>
      </c>
      <c r="J10" s="7">
        <f>INDEX(Profile!$A$2:$K$24,MATCH(Rearrange!$B10,Profile!$B$2:$B$24,0),11)</f>
        <v>3</v>
      </c>
      <c r="K10" s="7">
        <f>INDEX(Select!$C$6:$H$28,MATCH(Rearrange!B10,Select!$D$6:$D$28,0),6)</f>
        <v>0</v>
      </c>
    </row>
    <row r="11" spans="1:19" x14ac:dyDescent="0.25">
      <c r="A11" s="24">
        <v>10</v>
      </c>
      <c r="B11" s="6" t="str">
        <f t="shared" si="0"/>
        <v>Sriram</v>
      </c>
      <c r="C11" s="7" t="str">
        <f>INDEX(Select!$C$6:$G$28,MATCH(Rearrange!B11,Select!$D$6:$D$28,0),4)</f>
        <v>N</v>
      </c>
      <c r="D11" s="7">
        <f>INDEX(Select!$C$6:$G$28,MATCH(Rearrange!B11,Select!$D$6:$D$28,0),5)</f>
        <v>0</v>
      </c>
      <c r="E11" s="7">
        <f>INDEX(Profile!$A$2:$K$24,MATCH(Rearrange!$B11,Profile!$B$2:$B$24,0),6)</f>
        <v>4</v>
      </c>
      <c r="F11" s="7">
        <f>INDEX(Profile!$A$2:$K$24,MATCH(Rearrange!$B11,Profile!$B$2:$B$24,0),7)</f>
        <v>6</v>
      </c>
      <c r="G11" s="7">
        <f>INDEX(Profile!$A$2:$K$24,MATCH(Rearrange!$B11,Profile!$B$2:$B$24,0),8)</f>
        <v>4</v>
      </c>
      <c r="H11" s="7">
        <f>INDEX(Profile!$A$2:$K$24,MATCH(Rearrange!$B11,Profile!$B$2:$B$24,0),9)</f>
        <v>6</v>
      </c>
      <c r="I11" s="7">
        <f>INDEX(Profile!$A$2:$K$24,MATCH(Rearrange!$B11,Profile!$B$2:$B$24,0),10)</f>
        <v>0</v>
      </c>
      <c r="J11" s="7">
        <f>INDEX(Profile!$A$2:$K$24,MATCH(Rearrange!$B11,Profile!$B$2:$B$24,0),11)</f>
        <v>0</v>
      </c>
      <c r="K11" s="7">
        <f>INDEX(Select!$C$6:$H$28,MATCH(Rearrange!B11,Select!$D$6:$D$28,0),6)</f>
        <v>0</v>
      </c>
    </row>
    <row r="12" spans="1:19" x14ac:dyDescent="0.25">
      <c r="A12" s="25">
        <v>11</v>
      </c>
      <c r="B12" s="8" t="str">
        <f t="shared" si="0"/>
        <v>Animesh</v>
      </c>
      <c r="C12" s="9" t="str">
        <f>INDEX(Select!$C$6:$G$28,MATCH(Rearrange!B12,Select!$D$6:$D$28,0),4)</f>
        <v>Y</v>
      </c>
      <c r="D12" s="9">
        <f>INDEX(Select!$C$6:$G$28,MATCH(Rearrange!B12,Select!$D$6:$D$28,0),5)</f>
        <v>0</v>
      </c>
      <c r="E12" s="9">
        <f>INDEX(Profile!$A$2:$K$24,MATCH(Rearrange!$B12,Profile!$B$2:$B$24,0),6)</f>
        <v>7</v>
      </c>
      <c r="F12" s="9">
        <f>INDEX(Profile!$A$2:$K$24,MATCH(Rearrange!$B12,Profile!$B$2:$B$24,0),7)</f>
        <v>10</v>
      </c>
      <c r="G12" s="9">
        <f>INDEX(Profile!$A$2:$K$24,MATCH(Rearrange!$B12,Profile!$B$2:$B$24,0),8)</f>
        <v>7</v>
      </c>
      <c r="H12" s="9">
        <f>INDEX(Profile!$A$2:$K$24,MATCH(Rearrange!$B12,Profile!$B$2:$B$24,0),9)</f>
        <v>10</v>
      </c>
      <c r="I12" s="9">
        <f>INDEX(Profile!$A$2:$K$24,MATCH(Rearrange!$B12,Profile!$B$2:$B$24,0),10)</f>
        <v>0</v>
      </c>
      <c r="J12" s="9">
        <f>INDEX(Profile!$A$2:$K$24,MATCH(Rearrange!$B12,Profile!$B$2:$B$24,0),11)</f>
        <v>0</v>
      </c>
      <c r="K12" s="9">
        <f>INDEX(Select!$C$6:$H$28,MATCH(Rearrange!B12,Select!$D$6:$D$28,0),6)</f>
        <v>0</v>
      </c>
    </row>
    <row r="13" spans="1:19" x14ac:dyDescent="0.25">
      <c r="A13" s="25">
        <v>12</v>
      </c>
      <c r="B13" s="8" t="str">
        <f t="shared" si="0"/>
        <v>Tushar C</v>
      </c>
      <c r="C13" s="9" t="str">
        <f>INDEX(Select!$C$6:$G$28,MATCH(Rearrange!B13,Select!$D$6:$D$28,0),4)</f>
        <v>Y</v>
      </c>
      <c r="D13" s="9">
        <f>INDEX(Select!$C$6:$G$28,MATCH(Rearrange!B13,Select!$D$6:$D$28,0),5)</f>
        <v>0</v>
      </c>
      <c r="E13" s="9">
        <f>INDEX(Profile!$A$2:$K$24,MATCH(Rearrange!$B13,Profile!$B$2:$B$24,0),6)</f>
        <v>4</v>
      </c>
      <c r="F13" s="9">
        <f>INDEX(Profile!$A$2:$K$24,MATCH(Rearrange!$B13,Profile!$B$2:$B$24,0),7)</f>
        <v>6</v>
      </c>
      <c r="G13" s="9">
        <f>INDEX(Profile!$A$2:$K$24,MATCH(Rearrange!$B13,Profile!$B$2:$B$24,0),8)</f>
        <v>7</v>
      </c>
      <c r="H13" s="9">
        <f>INDEX(Profile!$A$2:$K$24,MATCH(Rearrange!$B13,Profile!$B$2:$B$24,0),9)</f>
        <v>10</v>
      </c>
      <c r="I13" s="9">
        <f>INDEX(Profile!$A$2:$K$24,MATCH(Rearrange!$B13,Profile!$B$2:$B$24,0),10)</f>
        <v>0</v>
      </c>
      <c r="J13" s="9">
        <f>INDEX(Profile!$A$2:$K$24,MATCH(Rearrange!$B13,Profile!$B$2:$B$24,0),11)</f>
        <v>0</v>
      </c>
      <c r="K13" s="9">
        <f>INDEX(Select!$C$6:$H$28,MATCH(Rearrange!B13,Select!$D$6:$D$28,0),6)</f>
        <v>1</v>
      </c>
    </row>
    <row r="14" spans="1:19" x14ac:dyDescent="0.25">
      <c r="A14" s="25">
        <v>13</v>
      </c>
      <c r="B14" s="8" t="str">
        <f t="shared" si="0"/>
        <v>Sudheer</v>
      </c>
      <c r="C14" s="9" t="str">
        <f>INDEX(Select!$C$6:$G$28,MATCH(Rearrange!B14,Select!$D$6:$D$28,0),4)</f>
        <v>Y</v>
      </c>
      <c r="D14" s="9">
        <f>INDEX(Select!$C$6:$G$28,MATCH(Rearrange!B14,Select!$D$6:$D$28,0),5)</f>
        <v>0</v>
      </c>
      <c r="E14" s="9">
        <f>INDEX(Profile!$A$2:$K$24,MATCH(Rearrange!$B14,Profile!$B$2:$B$24,0),6)</f>
        <v>7</v>
      </c>
      <c r="F14" s="9">
        <f>INDEX(Profile!$A$2:$K$24,MATCH(Rearrange!$B14,Profile!$B$2:$B$24,0),7)</f>
        <v>10</v>
      </c>
      <c r="G14" s="9">
        <f>INDEX(Profile!$A$2:$K$24,MATCH(Rearrange!$B14,Profile!$B$2:$B$24,0),8)</f>
        <v>7</v>
      </c>
      <c r="H14" s="9">
        <f>INDEX(Profile!$A$2:$K$24,MATCH(Rearrange!$B14,Profile!$B$2:$B$24,0),9)</f>
        <v>10</v>
      </c>
      <c r="I14" s="9">
        <f>INDEX(Profile!$A$2:$K$24,MATCH(Rearrange!$B14,Profile!$B$2:$B$24,0),10)</f>
        <v>0</v>
      </c>
      <c r="J14" s="9">
        <f>INDEX(Profile!$A$2:$K$24,MATCH(Rearrange!$B14,Profile!$B$2:$B$24,0),11)</f>
        <v>0</v>
      </c>
      <c r="K14" s="9">
        <f>INDEX(Select!$C$6:$H$28,MATCH(Rearrange!B14,Select!$D$6:$D$28,0),6)</f>
        <v>0</v>
      </c>
    </row>
    <row r="15" spans="1:19" x14ac:dyDescent="0.25">
      <c r="A15" s="25">
        <v>14</v>
      </c>
      <c r="B15" s="8" t="str">
        <f t="shared" si="0"/>
        <v>KP</v>
      </c>
      <c r="C15" s="9" t="str">
        <f>INDEX(Select!$C$6:$G$28,MATCH(Rearrange!B15,Select!$D$6:$D$28,0),4)</f>
        <v>Y</v>
      </c>
      <c r="D15" s="9">
        <f>INDEX(Select!$C$6:$G$28,MATCH(Rearrange!B15,Select!$D$6:$D$28,0),5)</f>
        <v>0</v>
      </c>
      <c r="E15" s="9">
        <f>INDEX(Profile!$A$2:$K$24,MATCH(Rearrange!$B15,Profile!$B$2:$B$24,0),6)</f>
        <v>7</v>
      </c>
      <c r="F15" s="9">
        <f>INDEX(Profile!$A$2:$K$24,MATCH(Rearrange!$B15,Profile!$B$2:$B$24,0),7)</f>
        <v>10</v>
      </c>
      <c r="G15" s="9">
        <f>INDEX(Profile!$A$2:$K$24,MATCH(Rearrange!$B15,Profile!$B$2:$B$24,0),8)</f>
        <v>4</v>
      </c>
      <c r="H15" s="9">
        <f>INDEX(Profile!$A$2:$K$24,MATCH(Rearrange!$B15,Profile!$B$2:$B$24,0),9)</f>
        <v>6</v>
      </c>
      <c r="I15" s="9">
        <f>INDEX(Profile!$A$2:$K$24,MATCH(Rearrange!$B15,Profile!$B$2:$B$24,0),10)</f>
        <v>4</v>
      </c>
      <c r="J15" s="9">
        <f>INDEX(Profile!$A$2:$K$24,MATCH(Rearrange!$B15,Profile!$B$2:$B$24,0),11)</f>
        <v>6</v>
      </c>
      <c r="K15" s="9">
        <f>INDEX(Select!$C$6:$H$28,MATCH(Rearrange!B15,Select!$D$6:$D$28,0),6)</f>
        <v>1</v>
      </c>
    </row>
    <row r="16" spans="1:19" x14ac:dyDescent="0.25">
      <c r="A16" s="25">
        <v>15</v>
      </c>
      <c r="B16" s="8" t="str">
        <f>INDEX($A$26:$B$46,MATCH(A16,$A$26:$A$46,0),2)</f>
        <v>AB</v>
      </c>
      <c r="C16" s="9" t="str">
        <f>INDEX(Select!$C$6:$G$28,MATCH(Rearrange!B16,Select!$D$6:$D$28,0),4)</f>
        <v>Y</v>
      </c>
      <c r="D16" s="9">
        <f>INDEX(Select!$C$6:$G$28,MATCH(Rearrange!B16,Select!$D$6:$D$28,0),5)</f>
        <v>0</v>
      </c>
      <c r="E16" s="9">
        <f>INDEX(Profile!$A$2:$K$24,MATCH(Rearrange!$B16,Profile!$B$2:$B$24,0),6)</f>
        <v>1</v>
      </c>
      <c r="F16" s="9">
        <f>INDEX(Profile!$A$2:$K$24,MATCH(Rearrange!$B16,Profile!$B$2:$B$24,0),7)</f>
        <v>3</v>
      </c>
      <c r="G16" s="9">
        <f>INDEX(Profile!$A$2:$K$24,MATCH(Rearrange!$B16,Profile!$B$2:$B$24,0),8)</f>
        <v>1</v>
      </c>
      <c r="H16" s="9">
        <f>INDEX(Profile!$A$2:$K$24,MATCH(Rearrange!$B16,Profile!$B$2:$B$24,0),9)</f>
        <v>3</v>
      </c>
      <c r="I16" s="9">
        <f>INDEX(Profile!$A$2:$K$24,MATCH(Rearrange!$B16,Profile!$B$2:$B$24,0),10)</f>
        <v>0</v>
      </c>
      <c r="J16" s="9">
        <f>INDEX(Profile!$A$2:$K$24,MATCH(Rearrange!$B16,Profile!$B$2:$B$24,0),11)</f>
        <v>0</v>
      </c>
      <c r="K16" s="9">
        <f>INDEX(Select!$C$6:$H$28,MATCH(Rearrange!B16,Select!$D$6:$D$28,0),6)</f>
        <v>0</v>
      </c>
    </row>
    <row r="17" spans="1:11" x14ac:dyDescent="0.25">
      <c r="A17" s="25">
        <v>16</v>
      </c>
      <c r="B17" s="8" t="str">
        <f t="shared" si="0"/>
        <v>Ninad</v>
      </c>
      <c r="C17" s="9" t="str">
        <f>INDEX(Select!$C$6:$G$28,MATCH(Rearrange!B17,Select!$D$6:$D$28,0),4)</f>
        <v>Y</v>
      </c>
      <c r="D17" s="9">
        <f>INDEX(Select!$C$6:$G$28,MATCH(Rearrange!B17,Select!$D$6:$D$28,0),5)</f>
        <v>0</v>
      </c>
      <c r="E17" s="9">
        <f>INDEX(Profile!$A$2:$K$24,MATCH(Rearrange!$B17,Profile!$B$2:$B$24,0),6)</f>
        <v>1</v>
      </c>
      <c r="F17" s="9">
        <f>INDEX(Profile!$A$2:$K$24,MATCH(Rearrange!$B17,Profile!$B$2:$B$24,0),7)</f>
        <v>3</v>
      </c>
      <c r="G17" s="9">
        <f>INDEX(Profile!$A$2:$K$24,MATCH(Rearrange!$B17,Profile!$B$2:$B$24,0),8)</f>
        <v>1</v>
      </c>
      <c r="H17" s="9">
        <f>INDEX(Profile!$A$2:$K$24,MATCH(Rearrange!$B17,Profile!$B$2:$B$24,0),9)</f>
        <v>3</v>
      </c>
      <c r="I17" s="9">
        <f>INDEX(Profile!$A$2:$K$24,MATCH(Rearrange!$B17,Profile!$B$2:$B$24,0),10)</f>
        <v>0</v>
      </c>
      <c r="J17" s="9">
        <f>INDEX(Profile!$A$2:$K$24,MATCH(Rearrange!$B17,Profile!$B$2:$B$24,0),11)</f>
        <v>0</v>
      </c>
      <c r="K17" s="9">
        <f>INDEX(Select!$C$6:$H$28,MATCH(Rearrange!B17,Select!$D$6:$D$28,0),6)</f>
        <v>0</v>
      </c>
    </row>
    <row r="18" spans="1:11" x14ac:dyDescent="0.25">
      <c r="A18" s="25">
        <v>17</v>
      </c>
      <c r="B18" s="8" t="str">
        <f t="shared" si="0"/>
        <v>NG</v>
      </c>
      <c r="C18" s="9" t="str">
        <f>INDEX(Select!$C$6:$G$28,MATCH(Rearrange!B18,Select!$D$6:$D$28,0),4)</f>
        <v>Y</v>
      </c>
      <c r="D18" s="9">
        <f>INDEX(Select!$C$6:$G$28,MATCH(Rearrange!B18,Select!$D$6:$D$28,0),5)</f>
        <v>0</v>
      </c>
      <c r="E18" s="9">
        <f>INDEX(Profile!$A$2:$K$24,MATCH(Rearrange!$B18,Profile!$B$2:$B$24,0),6)</f>
        <v>4</v>
      </c>
      <c r="F18" s="9">
        <f>INDEX(Profile!$A$2:$K$24,MATCH(Rearrange!$B18,Profile!$B$2:$B$24,0),7)</f>
        <v>6</v>
      </c>
      <c r="G18" s="9">
        <f>INDEX(Profile!$A$2:$K$24,MATCH(Rearrange!$B18,Profile!$B$2:$B$24,0),8)</f>
        <v>4</v>
      </c>
      <c r="H18" s="9">
        <f>INDEX(Profile!$A$2:$K$24,MATCH(Rearrange!$B18,Profile!$B$2:$B$24,0),9)</f>
        <v>6</v>
      </c>
      <c r="I18" s="9">
        <f>INDEX(Profile!$A$2:$K$24,MATCH(Rearrange!$B18,Profile!$B$2:$B$24,0),10)</f>
        <v>7</v>
      </c>
      <c r="J18" s="9">
        <f>INDEX(Profile!$A$2:$K$24,MATCH(Rearrange!$B18,Profile!$B$2:$B$24,0),11)</f>
        <v>10</v>
      </c>
      <c r="K18" s="9">
        <f>INDEX(Select!$C$6:$H$28,MATCH(Rearrange!B18,Select!$D$6:$D$28,0),6)</f>
        <v>0</v>
      </c>
    </row>
    <row r="19" spans="1:11" x14ac:dyDescent="0.25">
      <c r="A19" s="25">
        <v>18</v>
      </c>
      <c r="B19" s="8" t="str">
        <f t="shared" si="0"/>
        <v>Ashwin K</v>
      </c>
      <c r="C19" s="9" t="str">
        <f>INDEX(Select!$C$6:$G$28,MATCH(Rearrange!B19,Select!$D$6:$D$28,0),4)</f>
        <v>Y</v>
      </c>
      <c r="D19" s="9">
        <f>INDEX(Select!$C$6:$G$28,MATCH(Rearrange!B19,Select!$D$6:$D$28,0),5)</f>
        <v>0</v>
      </c>
      <c r="E19" s="9">
        <f>INDEX(Profile!$A$2:$K$24,MATCH(Rearrange!$B19,Profile!$B$2:$B$24,0),6)</f>
        <v>4</v>
      </c>
      <c r="F19" s="9">
        <f>INDEX(Profile!$A$2:$K$24,MATCH(Rearrange!$B19,Profile!$B$2:$B$24,0),7)</f>
        <v>6</v>
      </c>
      <c r="G19" s="9">
        <f>INDEX(Profile!$A$2:$K$24,MATCH(Rearrange!$B19,Profile!$B$2:$B$24,0),8)</f>
        <v>4</v>
      </c>
      <c r="H19" s="9">
        <f>INDEX(Profile!$A$2:$K$24,MATCH(Rearrange!$B19,Profile!$B$2:$B$24,0),9)</f>
        <v>6</v>
      </c>
      <c r="I19" s="9">
        <f>INDEX(Profile!$A$2:$K$24,MATCH(Rearrange!$B19,Profile!$B$2:$B$24,0),10)</f>
        <v>0</v>
      </c>
      <c r="J19" s="9">
        <f>INDEX(Profile!$A$2:$K$24,MATCH(Rearrange!$B19,Profile!$B$2:$B$24,0),11)</f>
        <v>0</v>
      </c>
      <c r="K19" s="9">
        <f>INDEX(Select!$C$6:$H$28,MATCH(Rearrange!B19,Select!$D$6:$D$28,0),6)</f>
        <v>0</v>
      </c>
    </row>
    <row r="20" spans="1:11" x14ac:dyDescent="0.25">
      <c r="A20" s="25">
        <v>19</v>
      </c>
      <c r="B20" s="8" t="str">
        <f t="shared" si="0"/>
        <v>Sanjeeth</v>
      </c>
      <c r="C20" s="9" t="str">
        <f>INDEX(Select!$C$6:$G$28,MATCH(Rearrange!B20,Select!$D$6:$D$28,0),4)</f>
        <v>N</v>
      </c>
      <c r="D20" s="9">
        <f>INDEX(Select!$C$6:$G$28,MATCH(Rearrange!B20,Select!$D$6:$D$28,0),5)</f>
        <v>0</v>
      </c>
      <c r="E20" s="9">
        <f>INDEX(Profile!$A$2:$K$24,MATCH(Rearrange!$B20,Profile!$B$2:$B$24,0),6)</f>
        <v>1</v>
      </c>
      <c r="F20" s="9">
        <f>INDEX(Profile!$A$2:$K$24,MATCH(Rearrange!$B20,Profile!$B$2:$B$24,0),7)</f>
        <v>3</v>
      </c>
      <c r="G20" s="9">
        <f>INDEX(Profile!$A$2:$K$24,MATCH(Rearrange!$B20,Profile!$B$2:$B$24,0),8)</f>
        <v>1</v>
      </c>
      <c r="H20" s="9">
        <f>INDEX(Profile!$A$2:$K$24,MATCH(Rearrange!$B20,Profile!$B$2:$B$24,0),9)</f>
        <v>3</v>
      </c>
      <c r="I20" s="9">
        <f>INDEX(Profile!$A$2:$K$24,MATCH(Rearrange!$B20,Profile!$B$2:$B$24,0),10)</f>
        <v>0</v>
      </c>
      <c r="J20" s="9">
        <f>INDEX(Profile!$A$2:$K$24,MATCH(Rearrange!$B20,Profile!$B$2:$B$24,0),11)</f>
        <v>0</v>
      </c>
      <c r="K20" s="9">
        <f>INDEX(Select!$C$6:$H$28,MATCH(Rearrange!B20,Select!$D$6:$D$28,0),6)</f>
        <v>0</v>
      </c>
    </row>
    <row r="21" spans="1:11" x14ac:dyDescent="0.25">
      <c r="A21" s="25">
        <v>20</v>
      </c>
      <c r="B21" s="8" t="str">
        <f t="shared" si="0"/>
        <v>Jenil</v>
      </c>
      <c r="C21" s="9" t="str">
        <f>INDEX(Select!$C$6:$G$28,MATCH(Rearrange!B21,Select!$D$6:$D$28,0),4)</f>
        <v>Y</v>
      </c>
      <c r="D21" s="9">
        <f>INDEX(Select!$C$6:$G$28,MATCH(Rearrange!B21,Select!$D$6:$D$28,0),5)</f>
        <v>0</v>
      </c>
      <c r="E21" s="9">
        <f>INDEX(Profile!$A$2:$K$24,MATCH(Rearrange!$B21,Profile!$B$2:$B$24,0),6)</f>
        <v>1</v>
      </c>
      <c r="F21" s="9">
        <f>INDEX(Profile!$A$2:$K$24,MATCH(Rearrange!$B21,Profile!$B$2:$B$24,0),7)</f>
        <v>3</v>
      </c>
      <c r="G21" s="9">
        <f>INDEX(Profile!$A$2:$K$24,MATCH(Rearrange!$B21,Profile!$B$2:$B$24,0),8)</f>
        <v>1</v>
      </c>
      <c r="H21" s="9">
        <f>INDEX(Profile!$A$2:$K$24,MATCH(Rearrange!$B21,Profile!$B$2:$B$24,0),9)</f>
        <v>3</v>
      </c>
      <c r="I21" s="9">
        <f>INDEX(Profile!$A$2:$K$24,MATCH(Rearrange!$B21,Profile!$B$2:$B$24,0),10)</f>
        <v>0</v>
      </c>
      <c r="J21" s="9">
        <f>INDEX(Profile!$A$2:$K$24,MATCH(Rearrange!$B21,Profile!$B$2:$B$24,0),11)</f>
        <v>0</v>
      </c>
      <c r="K21" s="9">
        <f>INDEX(Select!$C$6:$H$28,MATCH(Rearrange!B21,Select!$D$6:$D$28,0),6)</f>
        <v>1</v>
      </c>
    </row>
    <row r="22" spans="1:11" x14ac:dyDescent="0.25">
      <c r="A22" s="24">
        <v>21</v>
      </c>
      <c r="B22" s="6" t="str">
        <f>INDEX(Select!$C$6:$G$28,MATCH(1,Select!$G$6:$G$28,0),2)</f>
        <v>Nikunj</v>
      </c>
      <c r="C22" s="7" t="str">
        <f>INDEX(Select!$C$6:$G$28,MATCH(Rearrange!B22,Select!$D$6:$D$28,0),4)</f>
        <v>Y</v>
      </c>
      <c r="D22" s="7">
        <f>INDEX(Select!$C$6:$G$28,MATCH(Rearrange!B22,Select!$D$6:$D$28,0),5)</f>
        <v>1</v>
      </c>
      <c r="E22" s="7">
        <f>INDEX(Profile!$A$2:$K$24,MATCH(Rearrange!$B22,Profile!$B$2:$B$24,0),6)</f>
        <v>4</v>
      </c>
      <c r="F22" s="7">
        <f>INDEX(Profile!$A$2:$K$24,MATCH(Rearrange!$B22,Profile!$B$2:$B$24,0),7)</f>
        <v>6</v>
      </c>
      <c r="G22" s="7">
        <f>INDEX(Profile!$A$2:$K$24,MATCH(Rearrange!$B22,Profile!$B$2:$B$24,0),8)</f>
        <v>7</v>
      </c>
      <c r="H22" s="7">
        <f>INDEX(Profile!$A$2:$K$24,MATCH(Rearrange!$B22,Profile!$B$2:$B$24,0),9)</f>
        <v>10</v>
      </c>
      <c r="I22" s="7">
        <f>INDEX(Profile!$A$2:$K$24,MATCH(Rearrange!$B22,Profile!$B$2:$B$24,0),10)</f>
        <v>0</v>
      </c>
      <c r="J22" s="7">
        <f>INDEX(Profile!$A$2:$K$24,MATCH(Rearrange!$B22,Profile!$B$2:$B$24,0),11)</f>
        <v>0</v>
      </c>
      <c r="K22" s="7">
        <f>INDEX(Select!$C$6:$H$28,MATCH(Rearrange!B22,Select!$D$6:$D$28,0),6)</f>
        <v>1</v>
      </c>
    </row>
    <row r="23" spans="1:11" x14ac:dyDescent="0.25">
      <c r="A23" s="25">
        <v>22</v>
      </c>
      <c r="B23" s="8" t="str">
        <f>INDEX(Select!$C$6:$G$28,MATCH(2,Select!$G$6:$G$28,0),2)</f>
        <v>Rutvik</v>
      </c>
      <c r="C23" s="9" t="str">
        <f>INDEX(Select!$C$6:$G$28,MATCH(Rearrange!B23,Select!$D$6:$D$28,0),4)</f>
        <v>Y</v>
      </c>
      <c r="D23" s="9">
        <f>INDEX(Select!$C$6:$G$28,MATCH(Rearrange!B23,Select!$D$6:$D$28,0),5)</f>
        <v>2</v>
      </c>
      <c r="E23" s="9">
        <f>INDEX(Profile!$A$2:$K$24,MATCH(Rearrange!$B23,Profile!$B$2:$B$24,0),6)</f>
        <v>7</v>
      </c>
      <c r="F23" s="9">
        <f>INDEX(Profile!$A$2:$K$24,MATCH(Rearrange!$B23,Profile!$B$2:$B$24,0),7)</f>
        <v>10</v>
      </c>
      <c r="G23" s="9">
        <f>INDEX(Profile!$A$2:$K$24,MATCH(Rearrange!$B23,Profile!$B$2:$B$24,0),8)</f>
        <v>7</v>
      </c>
      <c r="H23" s="9">
        <f>INDEX(Profile!$A$2:$K$24,MATCH(Rearrange!$B23,Profile!$B$2:$B$24,0),9)</f>
        <v>10</v>
      </c>
      <c r="I23" s="9">
        <f>INDEX(Profile!$A$2:$K$24,MATCH(Rearrange!$B23,Profile!$B$2:$B$24,0),10)</f>
        <v>1</v>
      </c>
      <c r="J23" s="9">
        <f>INDEX(Profile!$A$2:$K$24,MATCH(Rearrange!$B23,Profile!$B$2:$B$24,0),11)</f>
        <v>3</v>
      </c>
      <c r="K23" s="9">
        <f>INDEX(Select!$C$6:$H$28,MATCH(Rearrange!B23,Select!$D$6:$D$28,0),6)</f>
        <v>1</v>
      </c>
    </row>
    <row r="26" spans="1:11" x14ac:dyDescent="0.25">
      <c r="A26" s="23" t="s">
        <v>4</v>
      </c>
      <c r="B26" t="s">
        <v>5</v>
      </c>
    </row>
    <row r="27" spans="1:11" x14ac:dyDescent="0.25">
      <c r="A27" s="2">
        <v>6</v>
      </c>
      <c r="B27" t="s">
        <v>0</v>
      </c>
    </row>
    <row r="28" spans="1:11" x14ac:dyDescent="0.25">
      <c r="A28" s="2">
        <v>14</v>
      </c>
      <c r="B28" t="s">
        <v>3</v>
      </c>
    </row>
    <row r="29" spans="1:11" x14ac:dyDescent="0.25">
      <c r="A29" s="2">
        <v>3</v>
      </c>
      <c r="B29" t="s">
        <v>6</v>
      </c>
    </row>
    <row r="30" spans="1:11" x14ac:dyDescent="0.25">
      <c r="A30" s="2">
        <v>20</v>
      </c>
      <c r="B30" t="s">
        <v>7</v>
      </c>
    </row>
    <row r="31" spans="1:11" x14ac:dyDescent="0.25">
      <c r="A31" s="2">
        <v>12</v>
      </c>
      <c r="B31" t="s">
        <v>8</v>
      </c>
    </row>
    <row r="32" spans="1:11" x14ac:dyDescent="0.25">
      <c r="A32" s="2">
        <v>7</v>
      </c>
      <c r="B32" t="s">
        <v>9</v>
      </c>
    </row>
    <row r="33" spans="1:2" x14ac:dyDescent="0.25">
      <c r="A33" s="2">
        <v>17</v>
      </c>
      <c r="B33" t="s">
        <v>10</v>
      </c>
    </row>
    <row r="34" spans="1:2" x14ac:dyDescent="0.25">
      <c r="A34" s="2">
        <v>15</v>
      </c>
      <c r="B34" t="s">
        <v>11</v>
      </c>
    </row>
    <row r="35" spans="1:2" x14ac:dyDescent="0.25">
      <c r="A35" s="2">
        <v>16</v>
      </c>
      <c r="B35" t="s">
        <v>12</v>
      </c>
    </row>
    <row r="36" spans="1:2" x14ac:dyDescent="0.25">
      <c r="A36" s="2">
        <v>5</v>
      </c>
      <c r="B36" t="s">
        <v>13</v>
      </c>
    </row>
    <row r="37" spans="1:2" x14ac:dyDescent="0.25">
      <c r="A37" s="2">
        <v>8</v>
      </c>
      <c r="B37" t="s">
        <v>14</v>
      </c>
    </row>
    <row r="38" spans="1:2" x14ac:dyDescent="0.25">
      <c r="A38" s="2">
        <v>4</v>
      </c>
      <c r="B38" t="s">
        <v>15</v>
      </c>
    </row>
    <row r="39" spans="1:2" x14ac:dyDescent="0.25">
      <c r="A39" s="2">
        <v>18</v>
      </c>
      <c r="B39" t="s">
        <v>16</v>
      </c>
    </row>
    <row r="40" spans="1:2" x14ac:dyDescent="0.25">
      <c r="A40" s="2">
        <v>9</v>
      </c>
      <c r="B40" t="s">
        <v>17</v>
      </c>
    </row>
    <row r="41" spans="1:2" x14ac:dyDescent="0.25">
      <c r="A41" s="2">
        <v>10</v>
      </c>
      <c r="B41" t="s">
        <v>18</v>
      </c>
    </row>
    <row r="42" spans="1:2" x14ac:dyDescent="0.25">
      <c r="A42" s="2">
        <v>11</v>
      </c>
      <c r="B42" t="s">
        <v>19</v>
      </c>
    </row>
    <row r="43" spans="1:2" x14ac:dyDescent="0.25">
      <c r="A43" s="2">
        <v>2</v>
      </c>
      <c r="B43" t="s">
        <v>20</v>
      </c>
    </row>
    <row r="44" spans="1:2" x14ac:dyDescent="0.25">
      <c r="A44" s="2">
        <v>1</v>
      </c>
      <c r="B44" t="s">
        <v>21</v>
      </c>
    </row>
    <row r="45" spans="1:2" x14ac:dyDescent="0.25">
      <c r="A45" s="2">
        <v>13</v>
      </c>
      <c r="B45" t="s">
        <v>22</v>
      </c>
    </row>
    <row r="46" spans="1:2" x14ac:dyDescent="0.25">
      <c r="A46" s="2">
        <v>19</v>
      </c>
      <c r="B46" t="s">
        <v>79</v>
      </c>
    </row>
    <row r="48" spans="1:2" x14ac:dyDescent="0.25">
      <c r="A48" s="2">
        <f>SUM(A27:A46)</f>
        <v>210</v>
      </c>
    </row>
  </sheetData>
  <sheetProtection selectLockedCells="1" selectUn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Preferences</vt:lpstr>
      <vt:lpstr>Profile</vt:lpstr>
      <vt:lpstr>Select</vt:lpstr>
      <vt:lpstr>Rearrange</vt:lpstr>
      <vt:lpstr>mcell</vt:lpstr>
    </vt:vector>
  </TitlesOfParts>
  <Company>NRG Energy Inc.</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Bathla, Abhisek</dc:creator>
  <cp:lastModifiedBy>Bathla, Abhisek</cp:lastModifiedBy>
  <dcterms:created xsi:type="dcterms:W3CDTF">2016-02-10T17:21:36Z</dcterms:created>
  <dcterms:modified xsi:type="dcterms:W3CDTF">2016-02-25T00:02:25Z</dcterms:modified>
</cp:coreProperties>
</file>